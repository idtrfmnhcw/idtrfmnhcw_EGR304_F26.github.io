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9f98e3a35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e38980205b104164"/>
    <x:sheet xmlns:r="http://schemas.openxmlformats.org/officeDocument/2006/relationships" name="Vendor URLs" sheetId="2" r:id="Rc0be187e3083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&quot;$&quot;0.00"/>
  </x:numFmts>
  <x:fonts count="9">
    <x:font>
      <x:sz val="11"/>
      <x:name val="Carlito"/>
    </x:font>
    <x:font>
      <x:sz val="10"/>
      <x:color rgb="FF192A3A"/>
      <x:name val="Arial"/>
    </x:font>
    <x:font>
      <x:b/>
      <x:sz val="15"/>
      <x:color rgb="FF183A63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b/>
      <x:sz val="10"/>
      <x:color rgb="FF183A63"/>
      <x:name val="Arial"/>
    </x:font>
    <x:font>
      <x:sz val="10"/>
      <x:color rgb="FF405366"/>
      <x:name val="Arial"/>
    </x:font>
    <x:font>
      <x:sz val="10"/>
      <x:color rgb="FF984B14"/>
      <x:name val="Arial"/>
    </x:font>
    <x:font>
      <x:b/>
      <x:sz val="14"/>
      <x:color rgb="FF183A6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A63"/>
      </x:patternFill>
    </x:fill>
    <x:fill>
      <x:patternFill patternType="solid">
        <x:fgColor rgb="FFF2F6FA"/>
      </x:patternFill>
    </x:fill>
    <x:fill>
      <x:patternFill patternType="solid">
        <x:fgColor rgb="FFFFF2C3"/>
      </x:patternFill>
    </x:fill>
    <x:fill>
      <x:patternFill patternType="solid">
        <x:fgColor rgb="FFDFECF5"/>
      </x:patternFill>
    </x:fill>
    <x:fill>
      <x:patternFill patternType="solid">
        <x:fgColor rgb="FFEAF1F7"/>
      </x:patternFill>
    </x:fill>
  </x:fills>
  <x:borders count="4">
    <x:border>
      <x:left/>
      <x:right/>
      <x:top/>
      <x:bottom/>
      <x:diagonal/>
    </x:border>
    <x:border>
      <x:left/>
      <x:right style="thin">
        <x:color rgb="FFD6E0E9"/>
      </x:right>
      <x:top/>
      <x:bottom/>
      <x:diagonal/>
    </x:border>
    <x:border>
      <x:left style="thin">
        <x:color rgb="FFD6E0E9"/>
      </x:left>
      <x:right style="thin">
        <x:color rgb="FFD6E0E9"/>
      </x:right>
      <x:top/>
      <x:bottom/>
      <x:diagonal/>
    </x:border>
    <x:border>
      <x:left style="thin">
        <x:color rgb="FFD6E0E9"/>
      </x:left>
      <x:right/>
      <x:top/>
      <x:bottom/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horizontal="right" vertical="center"/>
    </x:xf>
    <x:xf numFmtId="0" fontId="1" fillId="5" borderId="1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horizontal="right" vertical="center"/>
    </x:xf>
    <x:xf numFmtId="201" fontId="1" fillId="5" borderId="2" xfId="0" applyNumberFormat="1" applyFont="1" applyFill="1" applyBorder="1" applyAlignment="1">
      <x:alignment horizontal="right"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5" borderId="1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459c4d80b41d2" /><Relationship Type="http://schemas.openxmlformats.org/officeDocument/2006/relationships/theme" Target="/xl/theme/theme1.xml" Id="Rbb08417acfae42a3" /><Relationship Type="http://schemas.openxmlformats.org/officeDocument/2006/relationships/sharedStrings" Target="/xl/sharedStrings.xml" Id="R4dcb9bfe23824269" /><Relationship Type="http://schemas.openxmlformats.org/officeDocument/2006/relationships/worksheet" Target="/xl/worksheets/sheet1.xml" Id="Re38980205b104164" /><Relationship Type="http://schemas.openxmlformats.org/officeDocument/2006/relationships/worksheet" Target="/xl/worksheets/sheet2.xml" Id="Rc0be187e308345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A6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3" hidden="0" customWidth="1"/>
    <x:col min="2" max="2" width="7" hidden="0" customWidth="1"/>
    <x:col min="3" max="3" width="14" hidden="0" customWidth="1"/>
    <x:col min="4" max="4" width="14" hidden="0" customWidth="1"/>
    <x:col min="5" max="5" width="20" hidden="0" customWidth="1"/>
    <x:col min="6" max="6" width="25" hidden="0" customWidth="1"/>
    <x:col min="7" max="7" width="17" hidden="0" customWidth="1"/>
    <x:col min="8" max="8" width="18" hidden="0" customWidth="1"/>
    <x:col min="9" max="9" width="2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User Controls &amp; Safety — Bill of Materials, Rev C</x:v>
      </x:c>
      <x:c r="B2" s="3"/>
      <x:c r="C2" s="3"/>
      <x:c r="D2" s="3"/>
      <x:c r="E2" s="3"/>
      <x:c r="F2" s="3"/>
      <x:c r="G2" s="3"/>
      <x:c r="H2" s="3"/>
      <x:c r="I2" s="3"/>
    </x:row>
    <x:row r="3" ht="25" customHeight="1">
      <x:c r="A3" s="4" t="str">
        <x:v>Basis: 43 KiCad RevC schematic components + 1 external 9 V adapter | 30 October 2026</x:v>
      </x:c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4" t="str">
        <x:v>USD prices: 1-unit catalogue references (30 Oct 2026); unspecified prior models are PROPOSED, not confirmed purchases.</x:v>
      </x:c>
      <x:c r="B4" s="4"/>
      <x:c r="C4" s="4"/>
      <x:c r="D4" s="4"/>
      <x:c r="E4" s="4"/>
      <x:c r="F4" s="4"/>
      <x:c r="G4" s="4"/>
      <x:c r="H4" s="4"/>
      <x:c r="I4" s="4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8" customHeight="1">
      <x:c r="A7" s="23" t="str">
        <x:v>Part Name / Description</x:v>
      </x:c>
      <x:c r="B7" s="24" t="str">
        <x:v>Qty</x:v>
      </x:c>
      <x:c r="C7" s="24" t="str">
        <x:v>Unit Cost (USD)</x:v>
      </x:c>
      <x:c r="D7" s="24" t="str">
        <x:v>Total Cost (USD)</x:v>
      </x:c>
      <x:c r="E7" s="24" t="str">
        <x:v>Manufacturer</x:v>
      </x:c>
      <x:c r="F7" s="24" t="str">
        <x:v>Manufacturer #</x:v>
      </x:c>
      <x:c r="G7" s="24" t="str">
        <x:v>Vendor Link</x:v>
      </x:c>
      <x:c r="H7" s="24" t="str">
        <x:v>Datasheet Link</x:v>
      </x:c>
      <x:c r="I7" s="25" t="str">
        <x:v>Schematic Reference</x:v>
      </x:c>
    </x:row>
    <x:row r="8" ht="27" customHeight="1">
      <x:c r="A8" s="50" t="str">
        <x:v>PIC18F57Q43 Curiosity Nano development board</x:v>
      </x:c>
      <x:c r="B8" s="27" t="n">
        <x:v>1</x:v>
      </x:c>
      <x:c r="C8" s="28" t="n">
        <x:v>10.61</x:v>
      </x:c>
      <x:c r="D8" s="28" t="n">
        <x:f>B8*C8</x:f>
        <x:v>10.61</x:v>
      </x:c>
      <x:c r="E8" s="29" t="str">
        <x:v>Microchip</x:v>
      </x:c>
      <x:c r="F8" s="29" t="str">
        <x:v>DM164150</x:v>
      </x:c>
      <x:c r="G8" s="29" t="str">
        <x:v>DigiKey</x:v>
      </x:c>
      <x:c r="H8" s="29" t="str">
        <x:v>User guide</x:v>
      </x:c>
      <x:c r="I8" s="30" t="str">
        <x:v>U1</x:v>
      </x:c>
    </x:row>
    <x:row r="9" ht="27" customHeight="1">
      <x:c r="A9" s="51" t="str">
        <x:v>5 V linear regulator, TO-220</x:v>
      </x:c>
      <x:c r="B9" s="32" t="n">
        <x:v>1</x:v>
      </x:c>
      <x:c r="C9" s="33" t="n">
        <x:v>1.08</x:v>
      </x:c>
      <x:c r="D9" s="33" t="n">
        <x:f>B9*C9</x:f>
        <x:v>1.08</x:v>
      </x:c>
      <x:c r="E9" s="34" t="str">
        <x:v>STMicroelectronics</x:v>
      </x:c>
      <x:c r="F9" s="34" t="str">
        <x:v>L7805CV</x:v>
      </x:c>
      <x:c r="G9" s="34" t="str">
        <x:v>DigiKey</x:v>
      </x:c>
      <x:c r="H9" s="34" t="str">
        <x:v>ST L78</x:v>
      </x:c>
      <x:c r="I9" s="35" t="str">
        <x:v>U2</x:v>
      </x:c>
    </x:row>
    <x:row r="10" ht="27" customHeight="1">
      <x:c r="A10" s="50" t="str">
        <x:v>7-channel Darlington driver, DIP-16</x:v>
      </x:c>
      <x:c r="B10" s="27" t="n">
        <x:v>1</x:v>
      </x:c>
      <x:c r="C10" s="36" t="n">
        <x:v>1.13</x:v>
      </x:c>
      <x:c r="D10" s="28" t="n">
        <x:f>B10*C10</x:f>
        <x:v>1.13</x:v>
      </x:c>
      <x:c r="E10" s="29" t="str">
        <x:v>Texas Instruments</x:v>
      </x:c>
      <x:c r="F10" s="29" t="str">
        <x:v>ULN2003AN</x:v>
      </x:c>
      <x:c r="G10" s="29" t="str">
        <x:v>DigiKey</x:v>
      </x:c>
      <x:c r="H10" s="29" t="str">
        <x:v>TI ULN2003A</x:v>
      </x:c>
      <x:c r="I10" s="30" t="str">
        <x:v>U3</x:v>
      </x:c>
    </x:row>
    <x:row r="11" ht="27" customHeight="1">
      <x:c r="A11" s="51" t="str">
        <x:v>Passive piezo buzzer, 4 kHz nominal</x:v>
      </x:c>
      <x:c r="B11" s="32" t="n">
        <x:v>1</x:v>
      </x:c>
      <x:c r="C11" s="33" t="n">
        <x:v>0.62</x:v>
      </x:c>
      <x:c r="D11" s="33" t="n">
        <x:f>B11*C11</x:f>
        <x:v>0.62</x:v>
      </x:c>
      <x:c r="E11" s="34" t="str">
        <x:v>Same Sky</x:v>
      </x:c>
      <x:c r="F11" s="34" t="str">
        <x:v>CPT-1407-5TH</x:v>
      </x:c>
      <x:c r="G11" s="34" t="str">
        <x:v>DigiKey</x:v>
      </x:c>
      <x:c r="H11" s="34" t="str">
        <x:v>Same Sky</x:v>
      </x:c>
      <x:c r="I11" s="35" t="str">
        <x:v>BZ1</x:v>
      </x:c>
    </x:row>
    <x:row r="12" ht="27" customHeight="1">
      <x:c r="A12" s="50" t="str">
        <x:v>10 kΩ linear rotary potentiometer</x:v>
      </x:c>
      <x:c r="B12" s="27" t="n">
        <x:v>1</x:v>
      </x:c>
      <x:c r="C12" s="28" t="n">
        <x:v>0.89</x:v>
      </x:c>
      <x:c r="D12" s="28" t="n">
        <x:f>B12*C12</x:f>
        <x:v>0.89</x:v>
      </x:c>
      <x:c r="E12" s="29" t="str">
        <x:v>Bourns</x:v>
      </x:c>
      <x:c r="F12" s="29" t="str">
        <x:v>PTV09A-4015F-B103</x:v>
      </x:c>
      <x:c r="G12" s="29" t="str">
        <x:v>DigiKey</x:v>
      </x:c>
      <x:c r="H12" s="29" t="str">
        <x:v>Bourns PTV09</x:v>
      </x:c>
      <x:c r="I12" s="30" t="str">
        <x:v>RV1</x:v>
      </x:c>
    </x:row>
    <x:row r="13" ht="27" customHeight="1">
      <x:c r="A13" s="51" t="str">
        <x:v>Time-delay axial fuse, 315 mA, 250 V</x:v>
      </x:c>
      <x:c r="B13" s="32" t="n">
        <x:v>1</x:v>
      </x:c>
      <x:c r="C13" s="36" t="n">
        <x:v>1.3</x:v>
      </x:c>
      <x:c r="D13" s="33" t="n">
        <x:f>B13*C13</x:f>
        <x:v>1.3</x:v>
      </x:c>
      <x:c r="E13" s="34" t="str">
        <x:v>SCHURTER</x:v>
      </x:c>
      <x:c r="F13" s="34" t="str">
        <x:v>0034.3112.PT</x:v>
      </x:c>
      <x:c r="G13" s="34" t="str">
        <x:v>DigiKey</x:v>
      </x:c>
      <x:c r="H13" s="34" t="str">
        <x:v>Supplier specs</x:v>
      </x:c>
      <x:c r="I13" s="35" t="str">
        <x:v>F1</x:v>
      </x:c>
    </x:row>
    <x:row r="14" ht="27" customHeight="1">
      <x:c r="A14" s="50" t="str">
        <x:v>10 kΩ carbon-film resistor, ¼ W, ±5%</x:v>
      </x:c>
      <x:c r="B14" s="27" t="n">
        <x:v>4</x:v>
      </x:c>
      <x:c r="C14" s="36" t="n">
        <x:v>0.1</x:v>
      </x:c>
      <x:c r="D14" s="28" t="n">
        <x:f>B14*C14</x:f>
        <x:v>0.4</x:v>
      </x:c>
      <x:c r="E14" s="29" t="str">
        <x:v>YAGEO</x:v>
      </x:c>
      <x:c r="F14" s="29" t="str">
        <x:v>CFR-25JR-52-10K</x:v>
      </x:c>
      <x:c r="G14" s="29" t="str">
        <x:v>DigiKey</x:v>
      </x:c>
      <x:c r="H14" s="29" t="str">
        <x:v>Supplier specs</x:v>
      </x:c>
      <x:c r="I14" s="30" t="str">
        <x:v>R1, R2, R9, R10</x:v>
      </x:c>
    </x:row>
    <x:row r="15" ht="27" customHeight="1">
      <x:c r="A15" s="51" t="str">
        <x:v>1 kΩ carbon-film resistor, ¼ W, ±5%</x:v>
      </x:c>
      <x:c r="B15" s="32" t="n">
        <x:v>4</x:v>
      </x:c>
      <x:c r="C15" s="36" t="n">
        <x:v>0.1</x:v>
      </x:c>
      <x:c r="D15" s="33" t="n">
        <x:f>B15*C15</x:f>
        <x:v>0.4</x:v>
      </x:c>
      <x:c r="E15" s="34" t="str">
        <x:v>YAGEO</x:v>
      </x:c>
      <x:c r="F15" s="34" t="str">
        <x:v>CFR-25JR-52-1K</x:v>
      </x:c>
      <x:c r="G15" s="34" t="str">
        <x:v>DigiKey</x:v>
      </x:c>
      <x:c r="H15" s="34" t="str">
        <x:v>Supplier specs</x:v>
      </x:c>
      <x:c r="I15" s="35" t="str">
        <x:v>R3, R4, R5, R8</x:v>
      </x:c>
    </x:row>
    <x:row r="16" ht="27" customHeight="1">
      <x:c r="A16" s="50" t="str">
        <x:v>2.2 kΩ carbon-film resistor, ¼ W, ±5%</x:v>
      </x:c>
      <x:c r="B16" s="27" t="n">
        <x:v>1</x:v>
      </x:c>
      <x:c r="C16" s="36" t="n">
        <x:v>0.11</x:v>
      </x:c>
      <x:c r="D16" s="28" t="n">
        <x:f>B16*C16</x:f>
        <x:v>0.11</x:v>
      </x:c>
      <x:c r="E16" s="29" t="str">
        <x:v>YAGEO</x:v>
      </x:c>
      <x:c r="F16" s="29" t="str">
        <x:v>CFR-25JR-52-2K2</x:v>
      </x:c>
      <x:c r="G16" s="29" t="str">
        <x:v>DigiKey</x:v>
      </x:c>
      <x:c r="H16" s="29" t="str">
        <x:v>Supplier specs</x:v>
      </x:c>
      <x:c r="I16" s="30" t="str">
        <x:v>R6</x:v>
      </x:c>
    </x:row>
    <x:row r="17" ht="27" customHeight="1">
      <x:c r="A17" s="51" t="str">
        <x:v>100 kΩ carbon-film resistor, ¼ W, ±5%</x:v>
      </x:c>
      <x:c r="B17" s="32" t="n">
        <x:v>1</x:v>
      </x:c>
      <x:c r="C17" s="36" t="n">
        <x:v>0.1</x:v>
      </x:c>
      <x:c r="D17" s="33" t="n">
        <x:f>B17*C17</x:f>
        <x:v>0.1</x:v>
      </x:c>
      <x:c r="E17" s="34" t="str">
        <x:v>YAGEO</x:v>
      </x:c>
      <x:c r="F17" s="34" t="str">
        <x:v>CFR-25JR-52-100K</x:v>
      </x:c>
      <x:c r="G17" s="34" t="str">
        <x:v>DigiKey</x:v>
      </x:c>
      <x:c r="H17" s="34" t="str">
        <x:v>Supplier specs</x:v>
      </x:c>
      <x:c r="I17" s="35" t="str">
        <x:v>R7</x:v>
      </x:c>
    </x:row>
    <x:row r="18" ht="27" customHeight="1">
      <x:c r="A18" s="50" t="str">
        <x:v>0.33 µF film capacitor, ≥25 V (63 V chosen)</x:v>
      </x:c>
      <x:c r="B18" s="27" t="n">
        <x:v>1</x:v>
      </x:c>
      <x:c r="C18" s="36" t="n">
        <x:v>0.43</x:v>
      </x:c>
      <x:c r="D18" s="28" t="n">
        <x:f>B18*C18</x:f>
        <x:v>0.43</x:v>
      </x:c>
      <x:c r="E18" s="29" t="str">
        <x:v>KEMET</x:v>
      </x:c>
      <x:c r="F18" s="29" t="str">
        <x:v>R82DC3330CK60J</x:v>
      </x:c>
      <x:c r="G18" s="29" t="str">
        <x:v>DigiKey</x:v>
      </x:c>
      <x:c r="H18" s="29" t="str">
        <x:v>Supplier specs</x:v>
      </x:c>
      <x:c r="I18" s="30" t="str">
        <x:v>C1</x:v>
      </x:c>
    </x:row>
    <x:row r="19" ht="27" customHeight="1">
      <x:c r="A19" s="51" t="str">
        <x:v>0.1 µF film capacitor, ≥25 V (63 V chosen)</x:v>
      </x:c>
      <x:c r="B19" s="32" t="n">
        <x:v>2</x:v>
      </x:c>
      <x:c r="C19" s="36" t="n">
        <x:v>0.28</x:v>
      </x:c>
      <x:c r="D19" s="33" t="n">
        <x:f>B19*C19</x:f>
        <x:v>0.56</x:v>
      </x:c>
      <x:c r="E19" s="34" t="str">
        <x:v>KEMET</x:v>
      </x:c>
      <x:c r="F19" s="34" t="str">
        <x:v>R82DC3100AA50K</x:v>
      </x:c>
      <x:c r="G19" s="34" t="str">
        <x:v>DigiKey</x:v>
      </x:c>
      <x:c r="H19" s="34" t="str">
        <x:v>Supplier specs</x:v>
      </x:c>
      <x:c r="I19" s="35" t="str">
        <x:v>C2, C5</x:v>
      </x:c>
    </x:row>
    <x:row r="20" ht="27" customHeight="1">
      <x:c r="A20" s="50" t="str">
        <x:v>0.1 µF film capacitor, 63 V</x:v>
      </x:c>
      <x:c r="B20" s="27" t="n">
        <x:v>1</x:v>
      </x:c>
      <x:c r="C20" s="36" t="n">
        <x:v>0.28</x:v>
      </x:c>
      <x:c r="D20" s="28" t="n">
        <x:f>B20*C20</x:f>
        <x:v>0.28</x:v>
      </x:c>
      <x:c r="E20" s="29" t="str">
        <x:v>KEMET</x:v>
      </x:c>
      <x:c r="F20" s="29" t="str">
        <x:v>R82DC3100AA50K</x:v>
      </x:c>
      <x:c r="G20" s="29" t="str">
        <x:v>DigiKey</x:v>
      </x:c>
      <x:c r="H20" s="29" t="str">
        <x:v>Supplier specs</x:v>
      </x:c>
      <x:c r="I20" s="30" t="str">
        <x:v>C7</x:v>
      </x:c>
    </x:row>
    <x:row r="21" ht="27" customHeight="1">
      <x:c r="A21" s="51" t="str">
        <x:v>10 µF electrolytic capacitor, 25 V, polarized</x:v>
      </x:c>
      <x:c r="B21" s="32" t="n">
        <x:v>1</x:v>
      </x:c>
      <x:c r="C21" s="36" t="n">
        <x:v>0.26</x:v>
      </x:c>
      <x:c r="D21" s="33" t="n">
        <x:f>B21*C21</x:f>
        <x:v>0.26</x:v>
      </x:c>
      <x:c r="E21" s="34" t="str">
        <x:v>Panasonic</x:v>
      </x:c>
      <x:c r="F21" s="34" t="str">
        <x:v>ECE-A1EKA100</x:v>
      </x:c>
      <x:c r="G21" s="34" t="str">
        <x:v>DigiKey</x:v>
      </x:c>
      <x:c r="H21" s="34" t="str">
        <x:v>Supplier specs</x:v>
      </x:c>
      <x:c r="I21" s="35" t="str">
        <x:v>C3</x:v>
      </x:c>
    </x:row>
    <x:row r="22" ht="27" customHeight="1">
      <x:c r="A22" s="50" t="str">
        <x:v>1 µF film capacitor, 63 V</x:v>
      </x:c>
      <x:c r="B22" s="27" t="n">
        <x:v>2</x:v>
      </x:c>
      <x:c r="C22" s="36" t="n">
        <x:v>0.74</x:v>
      </x:c>
      <x:c r="D22" s="28" t="n">
        <x:f>B22*C22</x:f>
        <x:v>1.48</x:v>
      </x:c>
      <x:c r="E22" s="29" t="str">
        <x:v>KEMET</x:v>
      </x:c>
      <x:c r="F22" s="29" t="str">
        <x:v>R82DC4100SH60J</x:v>
      </x:c>
      <x:c r="G22" s="29" t="str">
        <x:v>DigiKey</x:v>
      </x:c>
      <x:c r="H22" s="29" t="str">
        <x:v>Supplier specs</x:v>
      </x:c>
      <x:c r="I22" s="30" t="str">
        <x:v>C4, C6</x:v>
      </x:c>
    </x:row>
    <x:row r="23" ht="27" customHeight="1">
      <x:c r="A23" s="51" t="str">
        <x:v>Green indicator LED, 5 mm THT</x:v>
      </x:c>
      <x:c r="B23" s="32" t="n">
        <x:v>1</x:v>
      </x:c>
      <x:c r="C23" s="36" t="n">
        <x:v>0.54</x:v>
      </x:c>
      <x:c r="D23" s="33" t="n">
        <x:f>B23*C23</x:f>
        <x:v>0.54</x:v>
      </x:c>
      <x:c r="E23" s="34" t="str">
        <x:v>Kingbright</x:v>
      </x:c>
      <x:c r="F23" s="34" t="str">
        <x:v>WP57GGD</x:v>
      </x:c>
      <x:c r="G23" s="34" t="str">
        <x:v>DigiKey</x:v>
      </x:c>
      <x:c r="H23" s="34" t="str">
        <x:v>Supplier specs</x:v>
      </x:c>
      <x:c r="I23" s="35" t="str">
        <x:v>D1</x:v>
      </x:c>
    </x:row>
    <x:row r="24" ht="27" customHeight="1">
      <x:c r="A24" s="50" t="str">
        <x:v>Red indicator LED, 5 mm THT</x:v>
      </x:c>
      <x:c r="B24" s="27" t="n">
        <x:v>1</x:v>
      </x:c>
      <x:c r="C24" s="36" t="n">
        <x:v>0.42</x:v>
      </x:c>
      <x:c r="D24" s="28" t="n">
        <x:f>B24*C24</x:f>
        <x:v>0.42</x:v>
      </x:c>
      <x:c r="E24" s="29" t="str">
        <x:v>Lite-On</x:v>
      </x:c>
      <x:c r="F24" s="29" t="str">
        <x:v>LTL-307ELC</x:v>
      </x:c>
      <x:c r="G24" s="29" t="str">
        <x:v>DigiKey</x:v>
      </x:c>
      <x:c r="H24" s="29" t="str">
        <x:v>Supplier specs</x:v>
      </x:c>
      <x:c r="I24" s="30" t="str">
        <x:v>D2</x:v>
      </x:c>
    </x:row>
    <x:row r="25" ht="27" customHeight="1">
      <x:c r="A25" s="51" t="str">
        <x:v>Yellow debug LED, 5 mm THT</x:v>
      </x:c>
      <x:c r="B25" s="32" t="n">
        <x:v>1</x:v>
      </x:c>
      <x:c r="C25" s="36" t="n">
        <x:v>0.23</x:v>
      </x:c>
      <x:c r="D25" s="33" t="n">
        <x:f>B25*C25</x:f>
        <x:v>0.23</x:v>
      </x:c>
      <x:c r="E25" s="34" t="str">
        <x:v>Kingbright</x:v>
      </x:c>
      <x:c r="F25" s="34" t="str">
        <x:v>WP7113YD</x:v>
      </x:c>
      <x:c r="G25" s="34" t="str">
        <x:v>DigiKey</x:v>
      </x:c>
      <x:c r="H25" s="34" t="str">
        <x:v>Supplier specs</x:v>
      </x:c>
      <x:c r="I25" s="35" t="str">
        <x:v>D3</x:v>
      </x:c>
    </x:row>
    <x:row r="26" ht="27" customHeight="1">
      <x:c r="A26" s="50" t="str">
        <x:v>DC barrel jack, 5.5×2.1 mm, THT</x:v>
      </x:c>
      <x:c r="B26" s="27" t="n">
        <x:v>1</x:v>
      </x:c>
      <x:c r="C26" s="36" t="n">
        <x:v>0.75</x:v>
      </x:c>
      <x:c r="D26" s="28" t="n">
        <x:f>B26*C26</x:f>
        <x:v>0.75</x:v>
      </x:c>
      <x:c r="E26" s="29" t="str">
        <x:v>Same Sky</x:v>
      </x:c>
      <x:c r="F26" s="29" t="str">
        <x:v>PJ-202A</x:v>
      </x:c>
      <x:c r="G26" s="29" t="str">
        <x:v>DigiKey</x:v>
      </x:c>
      <x:c r="H26" s="29" t="str">
        <x:v>Supplier specs</x:v>
      </x:c>
      <x:c r="I26" s="30" t="str">
        <x:v>J1</x:v>
      </x:c>
    </x:row>
    <x:row r="27" ht="27" customHeight="1">
      <x:c r="A27" s="51" t="str">
        <x:v>Team interface, 2×4 THT header, 2.54 mm</x:v>
      </x:c>
      <x:c r="B27" s="32" t="n">
        <x:v>1</x:v>
      </x:c>
      <x:c r="C27" s="36" t="n">
        <x:v>1.04</x:v>
      </x:c>
      <x:c r="D27" s="33" t="n">
        <x:f>B27*C27</x:f>
        <x:v>1.04</x:v>
      </x:c>
      <x:c r="E27" s="34" t="str">
        <x:v>Sullins</x:v>
      </x:c>
      <x:c r="F27" s="34" t="str">
        <x:v>PBC04DAAN</x:v>
      </x:c>
      <x:c r="G27" s="34" t="str">
        <x:v>DigiKey</x:v>
      </x:c>
      <x:c r="H27" s="34" t="str">
        <x:v>Supplier specs</x:v>
      </x:c>
      <x:c r="I27" s="35" t="str">
        <x:v>J2</x:v>
      </x:c>
    </x:row>
    <x:row r="28" ht="27" customHeight="1">
      <x:c r="A28" s="50" t="str">
        <x:v>UART upstream, 2-pin THT header, 2.54 mm</x:v>
      </x:c>
      <x:c r="B28" s="27" t="n">
        <x:v>1</x:v>
      </x:c>
      <x:c r="C28" s="36" t="n">
        <x:v>0.25</x:v>
      </x:c>
      <x:c r="D28" s="28" t="n">
        <x:f>B28*C28</x:f>
        <x:v>0.25</x:v>
      </x:c>
      <x:c r="E28" s="29" t="str">
        <x:v>Sullins</x:v>
      </x:c>
      <x:c r="F28" s="29" t="str">
        <x:v>PBC02SAAN</x:v>
      </x:c>
      <x:c r="G28" s="29" t="str">
        <x:v>DigiKey</x:v>
      </x:c>
      <x:c r="H28" s="29" t="str">
        <x:v>Header spec</x:v>
      </x:c>
      <x:c r="I28" s="30" t="str">
        <x:v>J3</x:v>
      </x:c>
    </x:row>
    <x:row r="29" ht="27" customHeight="1">
      <x:c r="A29" s="51" t="str">
        <x:v>UART downstream, 2-pin THT header, 2.54 mm</x:v>
      </x:c>
      <x:c r="B29" s="32" t="n">
        <x:v>1</x:v>
      </x:c>
      <x:c r="C29" s="36" t="n">
        <x:v>0.25</x:v>
      </x:c>
      <x:c r="D29" s="33" t="n">
        <x:f>B29*C29</x:f>
        <x:v>0.25</x:v>
      </x:c>
      <x:c r="E29" s="34" t="str">
        <x:v>Sullins</x:v>
      </x:c>
      <x:c r="F29" s="34" t="str">
        <x:v>PBC02SAAN</x:v>
      </x:c>
      <x:c r="G29" s="34" t="str">
        <x:v>DigiKey</x:v>
      </x:c>
      <x:c r="H29" s="34" t="str">
        <x:v>Header spec</x:v>
      </x:c>
      <x:c r="I29" s="35" t="str">
        <x:v>J4</x:v>
      </x:c>
    </x:row>
    <x:row r="30" ht="27" customHeight="1">
      <x:c r="A30" s="50" t="str">
        <x:v>GPIO expansion, 6-pin THT header, 2.54 mm</x:v>
      </x:c>
      <x:c r="B30" s="27" t="n">
        <x:v>1</x:v>
      </x:c>
      <x:c r="C30" s="36" t="n">
        <x:v>0.6</x:v>
      </x:c>
      <x:c r="D30" s="28" t="n">
        <x:f>B30*C30</x:f>
        <x:v>0.6</x:v>
      </x:c>
      <x:c r="E30" s="29" t="str">
        <x:v>Sullins</x:v>
      </x:c>
      <x:c r="F30" s="29" t="str">
        <x:v>PBC06SAAN</x:v>
      </x:c>
      <x:c r="G30" s="29" t="str">
        <x:v>DigiKey</x:v>
      </x:c>
      <x:c r="H30" s="29" t="str">
        <x:v>Supplier specs</x:v>
      </x:c>
      <x:c r="I30" s="30" t="str">
        <x:v>J5</x:v>
      </x:c>
    </x:row>
    <x:row r="31" ht="27" customHeight="1">
      <x:c r="A31" s="51" t="str">
        <x:v>E-stop wiring, 2-pin THT header, 2.54 mm</x:v>
      </x:c>
      <x:c r="B31" s="32" t="n">
        <x:v>1</x:v>
      </x:c>
      <x:c r="C31" s="36" t="n">
        <x:v>0.25</x:v>
      </x:c>
      <x:c r="D31" s="33" t="n">
        <x:f>B31*C31</x:f>
        <x:v>0.25</x:v>
      </x:c>
      <x:c r="E31" s="34" t="str">
        <x:v>Sullins</x:v>
      </x:c>
      <x:c r="F31" s="34" t="str">
        <x:v>PBC02SAAN</x:v>
      </x:c>
      <x:c r="G31" s="34" t="str">
        <x:v>DigiKey</x:v>
      </x:c>
      <x:c r="H31" s="34" t="str">
        <x:v>Header spec</x:v>
      </x:c>
      <x:c r="I31" s="35" t="str">
        <x:v>J6</x:v>
      </x:c>
    </x:row>
    <x:row r="32" ht="27" customHeight="1">
      <x:c r="A32" s="50" t="str">
        <x:v>Buzzer-enable 2-pin header + shorting shunt</x:v>
      </x:c>
      <x:c r="B32" s="27" t="n">
        <x:v>1</x:v>
      </x:c>
      <x:c r="C32" s="36" t="n">
        <x:v>0.35</x:v>
      </x:c>
      <x:c r="D32" s="28" t="n">
        <x:f>B32*C32</x:f>
        <x:v>0.35</x:v>
      </x:c>
      <x:c r="E32" s="29" t="str">
        <x:v>Sullins</x:v>
      </x:c>
      <x:c r="F32" s="29" t="str">
        <x:v>PBC02SAAN + SPC02SYAN</x:v>
      </x:c>
      <x:c r="G32" s="29" t="str">
        <x:v>DigiKey</x:v>
      </x:c>
      <x:c r="H32" s="29" t="str">
        <x:v>Jumper shunt</x:v>
      </x:c>
      <x:c r="I32" s="30" t="str">
        <x:v>JP1</x:v>
      </x:c>
    </x:row>
    <x:row r="33" ht="27" customHeight="1">
      <x:c r="A33" s="51" t="str">
        <x:v>Twist-reset E-stop, NC contact, panel mount</x:v>
      </x:c>
      <x:c r="B33" s="32" t="n">
        <x:v>1</x:v>
      </x:c>
      <x:c r="C33" s="36" t="n">
        <x:v>44.85</x:v>
      </x:c>
      <x:c r="D33" s="33" t="n">
        <x:f>B33*C33</x:f>
        <x:v>44.85</x:v>
      </x:c>
      <x:c r="E33" s="34" t="str">
        <x:v>E-Switch</x:v>
      </x:c>
      <x:c r="F33" s="34" t="str">
        <x:v>E100-R11-H1KR</x:v>
      </x:c>
      <x:c r="G33" s="34" t="str">
        <x:v>DigiKey</x:v>
      </x:c>
      <x:c r="H33" s="34" t="str">
        <x:v>Supplier specs</x:v>
      </x:c>
      <x:c r="I33" s="35" t="str">
        <x:v>SW1</x:v>
      </x:c>
    </x:row>
    <x:row r="34" ht="27" customHeight="1">
      <x:c r="A34" s="50" t="str">
        <x:v>Momentary SPST-NO tactile pushbutton, THT</x:v>
      </x:c>
      <x:c r="B34" s="27" t="n">
        <x:v>2</x:v>
      </x:c>
      <x:c r="C34" s="36" t="n">
        <x:v>0.21</x:v>
      </x:c>
      <x:c r="D34" s="28" t="n">
        <x:f>B34*C34</x:f>
        <x:v>0.42</x:v>
      </x:c>
      <x:c r="E34" s="29" t="str">
        <x:v>E-Switch</x:v>
      </x:c>
      <x:c r="F34" s="29" t="str">
        <x:v>TL1105F160Q</x:v>
      </x:c>
      <x:c r="G34" s="29" t="str">
        <x:v>DigiKey</x:v>
      </x:c>
      <x:c r="H34" s="29" t="str">
        <x:v>Supplier specs</x:v>
      </x:c>
      <x:c r="I34" s="30" t="str">
        <x:v>SW2, SW3</x:v>
      </x:c>
    </x:row>
    <x:row r="35" ht="27" customHeight="1">
      <x:c r="A35" s="51" t="str">
        <x:v>Through-hole miniature physical test points</x:v>
      </x:c>
      <x:c r="B35" s="32" t="n">
        <x:v>7</x:v>
      </x:c>
      <x:c r="C35" s="36" t="n">
        <x:v>0.27</x:v>
      </x:c>
      <x:c r="D35" s="33" t="n">
        <x:f>B35*C35</x:f>
        <x:v>1.8900000000000001</x:v>
      </x:c>
      <x:c r="E35" s="34" t="str">
        <x:v>Keystone</x:v>
      </x:c>
      <x:c r="F35" s="34" t="str">
        <x:v>5000</x:v>
      </x:c>
      <x:c r="G35" s="34" t="str">
        <x:v>DigiKey</x:v>
      </x:c>
      <x:c r="H35" s="34" t="str">
        <x:v>Supplier specs</x:v>
      </x:c>
      <x:c r="I35" s="35" t="str">
        <x:v>TP1, TP2, TP3, TP4, TP5, TP6, TP8</x:v>
      </x:c>
    </x:row>
    <x:row r="36" ht="27" customHeight="1">
      <x:c r="A36" s="52" t="str">
        <x:v>External 9 V DC wall adapter (assembly supply)</x:v>
      </x:c>
      <x:c r="B36" s="38" t="n">
        <x:v>1</x:v>
      </x:c>
      <x:c r="C36" s="39" t="n">
        <x:v>10.53</x:v>
      </x:c>
      <x:c r="D36" s="39" t="n">
        <x:f>B36*C36</x:f>
        <x:v>10.53</x:v>
      </x:c>
      <x:c r="E36" s="40" t="str">
        <x:v>Tensility</x:v>
      </x:c>
      <x:c r="F36" s="40" t="str">
        <x:v>16-00134</x:v>
      </x:c>
      <x:c r="G36" s="40" t="str">
        <x:v>DigiKey</x:v>
      </x:c>
      <x:c r="H36" s="40" t="str">
        <x:v>Supplier listing</x:v>
      </x:c>
      <x:c r="I36" s="41" t="str">
        <x:v>External</x:v>
      </x:c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5" customHeight="1">
      <x:c r="A38" s="45" t="str">
        <x:v>Estimated full component catalogue total</x:v>
      </x:c>
      <x:c r="B38" s="45"/>
      <x:c r="C38" s="45"/>
      <x:c r="D38" s="46" t="n">
        <x:f>SUM(D8:D36)</x:f>
        <x:v>82.02000000000001</x:v>
      </x:c>
      <x:c r="E38" s="45"/>
      <x:c r="F38" s="45"/>
      <x:c r="G38" s="45"/>
      <x:c r="H38" s="45"/>
      <x:c r="I38" s="45"/>
    </x:row>
    <x:row r="39" ht="25" customHeight="1">
      <x:c r="A39" s="45" t="str">
        <x:v>BOM lines still missing a unit cost</x:v>
      </x:c>
      <x:c r="B39" s="45"/>
      <x:c r="C39" s="45"/>
      <x:c r="D39" s="45" t="n">
        <x:f>COUNTBLANK(C8:C36)</x:f>
        <x:v>0</x:v>
      </x:c>
      <x:c r="E39" s="45"/>
      <x:c r="F39" s="45"/>
      <x:c r="G39" s="45"/>
      <x:c r="H39" s="45"/>
      <x:c r="I39" s="45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5" customHeight="1">
      <x:c r="A41" s="47" t="str">
        <x:v>REV C SOURCE: The table includes all 43 KiCad component references except GND/PWR_FLAG annotations. The 9 V adapter is an external additional item.</x:v>
      </x:c>
      <x:c r="B41" s="47"/>
      <x:c r="C41" s="47"/>
      <x:c r="D41" s="47"/>
      <x:c r="E41" s="47"/>
      <x:c r="F41" s="47"/>
      <x:c r="G41" s="47"/>
      <x:c r="H41" s="47"/>
      <x:c r="I41" s="47"/>
    </x:row>
    <x:row r="42" ht="25" customHeight="1">
      <x:c r="A42" s="48" t="str">
        <x:v>NOT INCLUDED: A 910 Ω preload resistor is not present in the exported RevC schematic. The previous Power Budget treats it only as a STAGED option.</x:v>
      </x:c>
      <x:c r="B42" s="48"/>
      <x:c r="C42" s="48"/>
      <x:c r="D42" s="48"/>
      <x:c r="E42" s="48"/>
      <x:c r="F42" s="48"/>
      <x:c r="G42" s="48"/>
      <x:c r="H42" s="48"/>
      <x:c r="I42" s="48"/>
    </x:row>
    <x:row r="43" ht="25" customHeight="1">
      <x:c r="A43" s="48" t="str">
        <x:v>POWER-BUDGET MISMATCH: RevC has 1 kΩ resistors (R3/R4/R5/R8); the previous budget used provisional 330 Ω LED limits.</x:v>
      </x:c>
      <x:c r="B43" s="48"/>
      <x:c r="C43" s="48"/>
      <x:c r="D43" s="48"/>
      <x:c r="E43" s="48"/>
      <x:c r="F43" s="48"/>
      <x:c r="G43" s="48"/>
      <x:c r="H43" s="48"/>
      <x:c r="I43" s="48"/>
    </x:row>
    <x:row r="44">
      <x:c r="A44" s="49" t="str">
        <x:v>PROPOSED MODELS: ordering suffixes/brands for unspecified parts are recommendations, not parts proven previously purchased; confirm footprints and pinouts.</x:v>
      </x:c>
      <x:c r="B44" s="49"/>
      <x:c r="C44" s="49"/>
      <x:c r="D44" s="49"/>
      <x:c r="E44" s="49"/>
      <x:c r="F44" s="49"/>
      <x:c r="G44" s="49"/>
      <x:c r="H44" s="49"/>
      <x:c r="I44" s="49"/>
    </x:row>
    <x:row r="45">
      <x:c r="A45" s="49" t="str">
        <x:v>PRICE NOTICE: catalogue total includes $10.61 replacement value of lab-provided Nano and $44.85 proposed E-stop; excludes tax/shipping and breadboard/wires/mating cables.</x:v>
      </x:c>
      <x:c r="B45" s="49"/>
      <x:c r="C45" s="49"/>
      <x:c r="D45" s="49"/>
      <x:c r="E45" s="49"/>
      <x:c r="F45" s="49"/>
      <x:c r="G45" s="49"/>
      <x:c r="H45" s="49"/>
      <x:c r="I45" s="4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9BFD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76" hidden="0" customWidth="1"/>
    <x:col min="4" max="4" width="76" hidden="0" customWidth="1"/>
    <x:col min="5" max="5" width="76" hidden="0" customWidth="1"/>
  </x:cols>
  <x:sheetData>
    <x:row r="2">
      <x:c r="A2" s="53" t="str">
        <x:v>Manufacturer models, supplier links and selection notes</x:v>
      </x:c>
      <x:c r="B2" s="53"/>
      <x:c r="C2" s="53"/>
      <x:c r="D2" s="53"/>
      <x:c r="E2" s="53"/>
    </x:row>
    <x:row r="4" ht="25" customHeight="1">
      <x:c r="A4" s="55" t="str">
        <x:v>Refs</x:v>
      </x:c>
      <x:c r="B4" s="55" t="str">
        <x:v>Component / model</x:v>
      </x:c>
      <x:c r="C4" s="55" t="str">
        <x:v>Vendor URL</x:v>
      </x:c>
      <x:c r="D4" s="55" t="str">
        <x:v>Datasheet URL</x:v>
      </x:c>
      <x:c r="E4" s="55" t="str">
        <x:v>Ordering / verification note</x:v>
      </x:c>
    </x:row>
    <x:row r="5" ht="25" customHeight="1">
      <x:c r="A5" s="1" t="str">
        <x:v>U1</x:v>
      </x:c>
      <x:c r="B5" s="1" t="str">
        <x:v>DM164150</x:v>
      </x:c>
      <x:c r="C5" s="1" t="str">
        <x:v>https://www.digikey.com/en/products/detail/microchip-technology/DM164150/11586705</x:v>
      </x:c>
      <x:c r="D5" s="1" t="str">
        <x:v>https://ww1.microchip.com/downloads/en/DeviceDoc/PIC18F57Q43-Curiosity-Nano-HW-UserGuide-DS40002186B.pdf</x:v>
      </x:c>
      <x:c r="E5" s="1" t="str">
        <x:v>PREVIOUSLY USED (lab-provided). USD 10.61 reflects replacement/catalogue value; actual incremental lab cost may be zero.</x:v>
      </x:c>
    </x:row>
    <x:row r="6" ht="25" customHeight="1">
      <x:c r="A6" s="1" t="str">
        <x:v>U2</x:v>
      </x:c>
      <x:c r="B6" s="1" t="str">
        <x:v>L7805CV</x:v>
      </x:c>
      <x:c r="C6" s="1" t="str">
        <x:v>https://www.digikey.com/en/products/detail/stmicroelectronics/L7805CV/585964</x:v>
      </x:c>
      <x:c r="D6" s="1" t="str">
        <x:v>https://www.st.com/resource/en/datasheet/l78.pdf</x:v>
      </x:c>
      <x:c r="E6" s="1" t="str">
        <x:v>Previous reference price; verify stock and voltage.</x:v>
      </x:c>
    </x:row>
    <x:row r="7" ht="25" customHeight="1">
      <x:c r="A7" s="1" t="str">
        <x:v>U3</x:v>
      </x:c>
      <x:c r="B7" s="1" t="str">
        <x:v>ULN2003AN</x:v>
      </x:c>
      <x:c r="C7" s="1" t="str">
        <x:v>https://www.digikey.com/en/products/detail/texas-instruments/ULN2003AN/277624</x:v>
      </x:c>
      <x:c r="D7" s="1" t="str">
        <x:v>https://www.ti.com/lit/ds/symlink/uln2003a.pdf</x:v>
      </x:c>
      <x:c r="E7" s="1" t="str">
        <x:v>PROPOSED ordering suffix AN for existing RevC ULN2003A DIP-16; exact packaged chip not previously confirmed.</x:v>
      </x:c>
    </x:row>
    <x:row r="8" ht="25" customHeight="1">
      <x:c r="A8" s="1" t="str">
        <x:v>BZ1</x:v>
      </x:c>
      <x:c r="B8" s="1" t="str">
        <x:v>CPT-1407-5TH</x:v>
      </x:c>
      <x:c r="C8" s="1" t="str">
        <x:v>https://www.digikey.com/en/products/detail/same-sky-formerly-cui-devices/CPT-1407-5TH/29292280</x:v>
      </x:c>
      <x:c r="D8" s="1" t="str">
        <x:v>https://www.sameskydevices.com/product/resource/cpt-1407-5th.pdf</x:v>
      </x:c>
      <x:c r="E8" s="1" t="str">
        <x:v>Nominal 5 Vp-p excitation; verify ULN2003A-driven waveform.</x:v>
      </x:c>
    </x:row>
    <x:row r="9" ht="25" customHeight="1">
      <x:c r="A9" s="1" t="str">
        <x:v>RV1</x:v>
      </x:c>
      <x:c r="B9" s="1" t="str">
        <x:v>PTV09A-4015F-B103</x:v>
      </x:c>
      <x:c r="C9" s="1" t="str">
        <x:v>https://www.digikey.com/en/products/detail/bourns-inc/PTV09A-4015F-B103/3781113</x:v>
      </x:c>
      <x:c r="D9" s="1" t="str">
        <x:v>https://www.bourns.com/docs/product-datasheets/PTV09.pdf</x:v>
      </x:c>
      <x:c r="E9" s="1" t="str">
        <x:v>Selected in Component Selection.</x:v>
      </x:c>
    </x:row>
    <x:row r="10" ht="25" customHeight="1">
      <x:c r="A10" s="1" t="str">
        <x:v>F1</x:v>
      </x:c>
      <x:c r="B10" s="1" t="str">
        <x:v>0034.3112.PT</x:v>
      </x:c>
      <x:c r="C10" s="1" t="str">
        <x:v>https://www.digikey.com/en/products/detail/schurter-inc/0034-3112-PT/639954</x:v>
      </x:c>
      <x:c r="D10" s="1" t="str">
        <x:v>https://www.digikey.com/en/products/detail/schurter-inc/0034-3112-PT/639954</x:v>
      </x:c>
      <x:c r="E10" s="1" t="str">
        <x:v>PROPOSED; 5×20 mm axial-lead slow-blow; review fusing current and mounting before assembly.</x:v>
      </x:c>
    </x:row>
    <x:row r="11" ht="25" customHeight="1">
      <x:c r="A11" s="1" t="str">
        <x:v>R1, R2, R9, R10</x:v>
      </x:c>
      <x:c r="B11" s="1" t="str">
        <x:v>CFR-25JR-52-10K</x:v>
      </x:c>
      <x:c r="C11" s="1" t="str">
        <x:v>https://www.digikey.com/en/products/detail/yageo/CFR-25JR-52-10K/11998</x:v>
      </x:c>
      <x:c r="D11" s="1" t="str">
        <x:v>https://www.digikey.com/en/products/detail/yageo/CFR-25JR-52-10K/11998</x:v>
      </x:c>
      <x:c r="E11" s="1" t="str">
        <x:v>PROPOSED through-hole series; four schematic positions confirmed.</x:v>
      </x:c>
    </x:row>
    <x:row r="12" ht="25" customHeight="1">
      <x:c r="A12" s="1" t="str">
        <x:v>R3, R4, R5, R8</x:v>
      </x:c>
      <x:c r="B12" s="1" t="str">
        <x:v>CFR-25JR-52-1K</x:v>
      </x:c>
      <x:c r="C12" s="1" t="str">
        <x:v>https://www.digikey.com/en/products/detail/yageo/CFR-25JR-52-1K/11974</x:v>
      </x:c>
      <x:c r="D12" s="1" t="str">
        <x:v>https://www.digikey.com/en/products/detail/yageo/CFR-25JR-52-1K/11974</x:v>
      </x:c>
      <x:c r="E12" s="1" t="str">
        <x:v>PROPOSED; RevC specifies 1 kΩ, although prior Power Budget used 330 Ω as initial LED illustration.</x:v>
      </x:c>
    </x:row>
    <x:row r="13" ht="25" customHeight="1">
      <x:c r="A13" s="1" t="str">
        <x:v>R6</x:v>
      </x:c>
      <x:c r="B13" s="1" t="str">
        <x:v>CFR-25JR-52-2K2</x:v>
      </x:c>
      <x:c r="C13" s="1" t="str">
        <x:v>https://www.digikey.com/en/products/detail/yageo/CFR-25JR-52-2K2/11982</x:v>
      </x:c>
      <x:c r="D13" s="1" t="str">
        <x:v>https://www.digikey.com/en/products/detail/yageo/CFR-25JR-52-2K2/11982</x:v>
      </x:c>
      <x:c r="E13" s="1" t="str">
        <x:v>PROPOSED; R6 value matches RevC schematic (2.2 kΩ).</x:v>
      </x:c>
    </x:row>
    <x:row r="14" ht="25" customHeight="1">
      <x:c r="A14" s="1" t="str">
        <x:v>R7</x:v>
      </x:c>
      <x:c r="B14" s="1" t="str">
        <x:v>CFR-25JR-52-100K</x:v>
      </x:c>
      <x:c r="C14" s="1" t="str">
        <x:v>https://www.digikey.com/en/products/detail/yageo/CFR-25JR-52-100K/18091927</x:v>
      </x:c>
      <x:c r="D14" s="1" t="str">
        <x:v>https://www.digikey.com/en/products/detail/yageo/CFR-25JR-52-100K/18091927</x:v>
      </x:c>
      <x:c r="E14" s="1" t="str">
        <x:v>PROPOSED; R7 value confirmed in schematic.</x:v>
      </x:c>
    </x:row>
    <x:row r="15" ht="25" customHeight="1">
      <x:c r="A15" s="1" t="str">
        <x:v>C1</x:v>
      </x:c>
      <x:c r="B15" s="1" t="str">
        <x:v>R82DC3330CK60J</x:v>
      </x:c>
      <x:c r="C15" s="1" t="str">
        <x:v>https://www.digikey.com/en/products/detail/kemet/R82DC3330CK60J/18302072</x:v>
      </x:c>
      <x:c r="D15" s="1" t="str">
        <x:v>https://www.digikey.com/en/products/detail/kemet/R82DC3330CK60J/18302072</x:v>
      </x:c>
      <x:c r="E15" s="1" t="str">
        <x:v>PROPOSED: actual 63 VDC rating exceeds 25 V schematic minimum; radial, non-polarized.</x:v>
      </x:c>
    </x:row>
    <x:row r="16" ht="25" customHeight="1">
      <x:c r="A16" s="1" t="str">
        <x:v>C2, C5</x:v>
      </x:c>
      <x:c r="B16" s="1" t="str">
        <x:v>R82DC3100AA50K</x:v>
      </x:c>
      <x:c r="C16" s="1" t="str">
        <x:v>https://www.digikey.com/en/products/detail/kemet/R82DC3100AA50K/3724647</x:v>
      </x:c>
      <x:c r="D16" s="1" t="str">
        <x:v>https://www.digikey.com/en/products/detail/kemet/R82DC3100AA50K/3724647</x:v>
      </x:c>
      <x:c r="E16" s="1" t="str">
        <x:v>PROPOSED: two radial non-polarized 63 V parts; both satisfy 25 V minimum.</x:v>
      </x:c>
    </x:row>
    <x:row r="17" ht="25" customHeight="1">
      <x:c r="A17" s="1" t="str">
        <x:v>C7</x:v>
      </x:c>
      <x:c r="B17" s="1" t="str">
        <x:v>R82DC3100AA50K</x:v>
      </x:c>
      <x:c r="C17" s="1" t="str">
        <x:v>https://www.digikey.com/en/products/detail/kemet/R82DC3100AA50K/3724647</x:v>
      </x:c>
      <x:c r="D17" s="1" t="str">
        <x:v>https://www.digikey.com/en/products/detail/kemet/R82DC3100AA50K/3724647</x:v>
      </x:c>
      <x:c r="E17" s="1" t="str">
        <x:v>PROPOSED: same 63 V component as C2/C5; stays separately listed to preserve design-note distinction.</x:v>
      </x:c>
    </x:row>
    <x:row r="18" ht="25" customHeight="1">
      <x:c r="A18" s="1" t="str">
        <x:v>C3</x:v>
      </x:c>
      <x:c r="B18" s="1" t="str">
        <x:v>ECE-A1EKA100</x:v>
      </x:c>
      <x:c r="C18" s="1" t="str">
        <x:v>https://www.digikey.com/en/products/detail/panasonic-electronic-components/ECE-A1EKA100/6920</x:v>
      </x:c>
      <x:c r="D18" s="1" t="str">
        <x:v>https://www.digikey.com/en/products/detail/panasonic-electronic-components/ECE-A1EKA100/6920</x:v>
      </x:c>
      <x:c r="E18" s="1" t="str">
        <x:v>PROPOSED; C3 is a polarized KiCad symbol; observe +/− and lead spacing.</x:v>
      </x:c>
    </x:row>
    <x:row r="19" ht="25" customHeight="1">
      <x:c r="A19" s="1" t="str">
        <x:v>C4, C6</x:v>
      </x:c>
      <x:c r="B19" s="1" t="str">
        <x:v>R82DC4100SH60J</x:v>
      </x:c>
      <x:c r="C19" s="1" t="str">
        <x:v>https://www.digikey.com/en/products/detail/kemet/R82DC4100SH60J/11200138</x:v>
      </x:c>
      <x:c r="D19" s="1" t="str">
        <x:v>https://www.digikey.com/en/products/detail/kemet/R82DC4100SH60J/11200138</x:v>
      </x:c>
      <x:c r="E19" s="1" t="str">
        <x:v>PROPOSED; radial, non-polarized, 63 VDC.</x:v>
      </x:c>
    </x:row>
    <x:row r="20" ht="25" customHeight="1">
      <x:c r="A20" s="1" t="str">
        <x:v>D1</x:v>
      </x:c>
      <x:c r="B20" s="1" t="str">
        <x:v>WP57GGD</x:v>
      </x:c>
      <x:c r="C20" s="1" t="str">
        <x:v>https://www.digikey.com/en/products/detail/kingbright/WP57GGD/3084164</x:v>
      </x:c>
      <x:c r="D20" s="1" t="str">
        <x:v>https://www.digikey.com/en/products/detail/kingbright/WP57GGD/3084164</x:v>
      </x:c>
      <x:c r="E20" s="1" t="str">
        <x:v>PROPOSED green LED. Verify resistor-driven current and brightness at 5 V.</x:v>
      </x:c>
    </x:row>
    <x:row r="21" ht="25" customHeight="1">
      <x:c r="A21" s="1" t="str">
        <x:v>D2</x:v>
      </x:c>
      <x:c r="B21" s="1" t="str">
        <x:v>LTL-307ELC</x:v>
      </x:c>
      <x:c r="C21" s="1" t="str">
        <x:v>https://www.digikey.com/en/products/detail/liteon/LTL-307ELC/3198480</x:v>
      </x:c>
      <x:c r="D21" s="1" t="str">
        <x:v>https://www.digikey.com/en/products/detail/liteon/LTL-307ELC/3198480</x:v>
      </x:c>
      <x:c r="E21" s="1" t="str">
        <x:v>PROPOSED red LED; original RevC does not specify LED manufacturer.</x:v>
      </x:c>
    </x:row>
    <x:row r="22" ht="25" customHeight="1">
      <x:c r="A22" s="1" t="str">
        <x:v>D3</x:v>
      </x:c>
      <x:c r="B22" s="1" t="str">
        <x:v>WP7113YD</x:v>
      </x:c>
      <x:c r="C22" s="1" t="str">
        <x:v>https://www.digikey.com/en/products/detail/kingbright/WP7113YD/1747683</x:v>
      </x:c>
      <x:c r="D22" s="1" t="str">
        <x:v>https://www.digikey.com/en/products/detail/kingbright/WP7113YD/1747683</x:v>
      </x:c>
      <x:c r="E22" s="1" t="str">
        <x:v>PROPOSED yellow color for debug; original RevC leaves color unspecified.</x:v>
      </x:c>
    </x:row>
    <x:row r="23" ht="25" customHeight="1">
      <x:c r="A23" s="1" t="str">
        <x:v>J1</x:v>
      </x:c>
      <x:c r="B23" s="1" t="str">
        <x:v>PJ-202A</x:v>
      </x:c>
      <x:c r="C23" s="1" t="str">
        <x:v>https://www.digikey.com/en/products/detail/same-sky-formerly-cui-devices/PJ-202A/252007</x:v>
      </x:c>
      <x:c r="D23" s="1" t="str">
        <x:v>https://www.digikey.com/en/products/detail/same-sky-formerly-cui-devices/PJ-202A/252007</x:v>
      </x:c>
      <x:c r="E23" s="1" t="str">
        <x:v>PROPOSED; 2.1 mm ID matches Tensility 16-00134. Verify switch terminal/pinout against J1 KiCad footprint.</x:v>
      </x:c>
    </x:row>
    <x:row r="24" ht="25" customHeight="1">
      <x:c r="A24" s="1" t="str">
        <x:v>J2</x:v>
      </x:c>
      <x:c r="B24" s="1" t="str">
        <x:v>PBC04DAAN</x:v>
      </x:c>
      <x:c r="C24" s="1" t="str">
        <x:v>https://www.digikey.com/en/products/detail/sullins-connector-solutions/PBC04DAAN/861062</x:v>
      </x:c>
      <x:c r="D24" s="1" t="str">
        <x:v>https://www.digikey.com/en/products/detail/sullins-connector-solutions/PBC04DAAN/861062</x:v>
      </x:c>
      <x:c r="E24" s="1" t="str">
        <x:v>PROPOSED 8-position dual-row male header; mate/cable not included.</x:v>
      </x:c>
    </x:row>
    <x:row r="25" ht="25" customHeight="1">
      <x:c r="A25" s="1" t="str">
        <x:v>J3</x:v>
      </x:c>
      <x:c r="B25" s="1" t="str">
        <x:v>PBC02SAAN</x:v>
      </x:c>
      <x:c r="C25" s="1" t="str">
        <x:v>https://www.digikey.com/en/products/detail/sullins-connector-solutions/PBC02SAAN/859623</x:v>
      </x:c>
      <x:c r="D25" s="1" t="str">
        <x:v>https://media.digikey.com/pdf/Data%20Sheets/Sullins%20PDFs/PBC02SAAN.pdf</x:v>
      </x:c>
      <x:c r="E25" s="1" t="str">
        <x:v>PROPOSED; 2-position male header for UART cabling.</x:v>
      </x:c>
    </x:row>
    <x:row r="26" ht="25" customHeight="1">
      <x:c r="A26" s="1" t="str">
        <x:v>J4</x:v>
      </x:c>
      <x:c r="B26" s="1" t="str">
        <x:v>PBC02SAAN</x:v>
      </x:c>
      <x:c r="C26" s="1" t="str">
        <x:v>https://www.digikey.com/en/products/detail/sullins-connector-solutions/PBC02SAAN/859623</x:v>
      </x:c>
      <x:c r="D26" s="1" t="str">
        <x:v>https://media.digikey.com/pdf/Data%20Sheets/Sullins%20PDFs/PBC02SAAN.pdf</x:v>
      </x:c>
      <x:c r="E26" s="1" t="str">
        <x:v>PROPOSED; same 2-position male header as J3.</x:v>
      </x:c>
    </x:row>
    <x:row r="27" ht="25" customHeight="1">
      <x:c r="A27" s="1" t="str">
        <x:v>J5</x:v>
      </x:c>
      <x:c r="B27" s="1" t="str">
        <x:v>PBC06SAAN</x:v>
      </x:c>
      <x:c r="C27" s="1" t="str">
        <x:v>https://www.digikey.com/en/products/detail/sullins-connector-solutions/PBC06SAAN/859627</x:v>
      </x:c>
      <x:c r="D27" s="1" t="str">
        <x:v>https://www.digikey.com/en/products/detail/sullins-connector-solutions/PBC06SAAN/859627</x:v>
      </x:c>
      <x:c r="E27" s="1" t="str">
        <x:v>PROPOSED male 6-pin row; matching receptacle/wire harness not costed.</x:v>
      </x:c>
    </x:row>
    <x:row r="28" ht="25" customHeight="1">
      <x:c r="A28" s="1" t="str">
        <x:v>J6</x:v>
      </x:c>
      <x:c r="B28" s="1" t="str">
        <x:v>PBC02SAAN</x:v>
      </x:c>
      <x:c r="C28" s="1" t="str">
        <x:v>https://www.digikey.com/en/products/detail/sullins-connector-solutions/PBC02SAAN/859623</x:v>
      </x:c>
      <x:c r="D28" s="1" t="str">
        <x:v>https://media.digikey.com/pdf/Data%20Sheets/Sullins%20PDFs/PBC02SAAN.pdf</x:v>
      </x:c>
      <x:c r="E28" s="1" t="str">
        <x:v>PROPOSED connector for low-current E-stop sense; wire attachment/strain relief and fail-safe contact routing must be validated.</x:v>
      </x:c>
    </x:row>
    <x:row r="29" ht="25" customHeight="1">
      <x:c r="A29" s="1" t="str">
        <x:v>JP1</x:v>
      </x:c>
      <x:c r="B29" s="1" t="str">
        <x:v>PBC02SAAN + SPC02SYAN</x:v>
      </x:c>
      <x:c r="C29" s="1" t="str">
        <x:v>https://www.digikey.com/en/products/detail/sullins-connector-solutions/PBC02SAAN/859623</x:v>
      </x:c>
      <x:c r="D29" s="1" t="str">
        <x:v>https://www.digikey.com/en/products/detail/sullins-connector-solutions/SPC02SYAN/76375</x:v>
      </x:c>
      <x:c r="E29" s="1" t="str">
        <x:v>PROPOSED combined assembly: header $0.25 + 2.54 mm shunt $0.10.</x:v>
      </x:c>
    </x:row>
    <x:row r="30" ht="25" customHeight="1">
      <x:c r="A30" s="1" t="str">
        <x:v>SW1</x:v>
      </x:c>
      <x:c r="B30" s="1" t="str">
        <x:v>E100-R11-H1KR</x:v>
      </x:c>
      <x:c r="C30" s="1" t="str">
        <x:v>https://www.digikey.com/en/products/detail/e-switch/E100-R11-H1KR/24614864</x:v>
      </x:c>
      <x:c r="D30" s="1" t="str">
        <x:v>https://www.digikey.com/en/products/detail/e-switch/E100-R11-H1KR/24614864</x:v>
      </x:c>
      <x:c r="E30" s="1" t="str">
        <x:v>PROPOSED industrial NO/NC switch; wire NC contact only for E-stop; 24 V illumination not used. Largest unit cost; confirm mechanical fit and safety intent.</x:v>
      </x:c>
    </x:row>
    <x:row r="31" ht="25" customHeight="1">
      <x:c r="A31" s="1" t="str">
        <x:v>SW2, SW3</x:v>
      </x:c>
      <x:c r="B31" s="1" t="str">
        <x:v>TL1105F160Q</x:v>
      </x:c>
      <x:c r="C31" s="1" t="str">
        <x:v>https://www.digikey.com/en/products/detail/e-switch/TL1105F160Q/5794</x:v>
      </x:c>
      <x:c r="D31" s="1" t="str">
        <x:v>https://www.digikey.com/en/products/detail/e-switch/TL1105F160Q/5794</x:v>
      </x:c>
      <x:c r="E31" s="1" t="str">
        <x:v>PROPOSED for Start/Pause and Debug; 6×6 mm THT momentary switches.</x:v>
      </x:c>
    </x:row>
    <x:row r="32" ht="25" customHeight="1">
      <x:c r="A32" s="1" t="str">
        <x:v>TP1, TP2, TP3, TP4, TP5, TP6, TP8</x:v>
      </x:c>
      <x:c r="B32" s="1" t="str">
        <x:v>5000</x:v>
      </x:c>
      <x:c r="C32" s="1" t="str">
        <x:v>https://www.digikey.com/en/products/detail/keystone-electronics/5000/255326</x:v>
      </x:c>
      <x:c r="D32" s="1" t="str">
        <x:v>https://www.digikey.com/en/products/detail/keystone-electronics/5000/255326</x:v>
      </x:c>
      <x:c r="E32" s="1" t="str">
        <x:v>PROPOSED solder-in probe loops for seven KiCad test markers; if bare wire pads suffice, do not purchase these.</x:v>
      </x:c>
    </x:row>
    <x:row r="33" ht="25" customHeight="1">
      <x:c r="A33" s="1" t="str">
        <x:v>External</x:v>
      </x:c>
      <x:c r="B33" s="1" t="str">
        <x:v>16-00134</x:v>
      </x:c>
      <x:c r="C33" s="1" t="str">
        <x:v>https://www.digikey.com/en/products/detail/tensility-international-corp/16-00134/10324425</x:v>
      </x:c>
      <x:c r="D33" s="1" t="str">
        <x:v>https://www.digikey.com/en/products/detail/tensility-international-corp/16-00134/10324425</x:v>
      </x:c>
      <x:c r="E33" s="1" t="str">
        <x:v>Selected in Component Selection; not an electrical KiCad symbol.</x:v>
      </x:c>
    </x:row>
    <x:row r="35">
      <x:c r="A35" t="str">
        <x:v>Original component-selection page:</x:v>
      </x:c>
      <x:c r="B35" t="str">
        <x:v>https://github.com/idtrfmnhcw/idtrfmnhcw_EGR304_F26.github.io/blob/main/docs/02-Component-Selection/Component-Selection.md</x:v>
      </x:c>
    </x:row>
    <x:row r="36">
      <x:c r="A36" t="str">
        <x:v>KiCad RevC source ZIP:</x:v>
      </x:c>
      <x:c r="B36" t="str">
        <x:v>https://github.com/idtrfmnhcw/idtrfmnhcw_EGR304_F26.github.io/blob/main/docs/04-Schematic/EGR304_User_Controls_Project_RevC.zip</x:v>
      </x:c>
    </x:row>
  </x:sheetData>
  <x:pageMargins left="0.7" right="0.7" top="0.75" bottom="0.75" header="0.3" footer="0.3"/>
</x:worksheet>
</file>