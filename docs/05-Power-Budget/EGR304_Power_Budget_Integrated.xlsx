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6b9ac1d2e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6d8f706cef63403e"/>
    <x:sheet xmlns:r="http://schemas.openxmlformats.org/officeDocument/2006/relationships" name="Design Inputs" sheetId="2" r:id="Rdf01d1d90246413c"/>
    <x:sheet xmlns:r="http://schemas.openxmlformats.org/officeDocument/2006/relationships" name="Thermal Analysis" sheetId="3" r:id="Rb1e597d7119d4006"/>
  </x:sheets>
</x:workbook>
</file>

<file path=xl/comments1.xml><?xml version="1.0" encoding="utf-8"?>
<x:comments xmlns:x="http://schemas.openxmlformats.org/spreadsheetml/2006/main">
  <x:authors>
    <x:author/>
  </x:authors>
  <x:commentList>
    <x:comment ref="F8" authorId="0">
      <x:text>
        <x:r>
          <x:t>For inductive loads (e.g., motors, solenoids) this is often called "stall current" on the data sheet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<x:sst xmlns:x="http://schemas.openxmlformats.org/spreadsheetml/2006/main">
  <x:si>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Team Number:</x:t>
  </x:si>
  <x:si>
    <x:t xml:space="preserve">Project Name:</x:t>
  </x:si>
  <x:si>
    <x:t xml:space="preserve">Team Member Names:</x:t>
  </x:si>
  <x:si>
    <x:t xml:space="preserve">Canyon Miller, Yixang Ren, Dunyue Yang</x:t>
  </x:si>
  <x:si>
    <x:t xml:space="preserve">Version:</x:t>
  </x:si>
  <x:si>
    <x:t xml:space="preserve">A. List ALL major components (active devices, integrated circuits, etc.) except for power sources, voltage regulators, resistors, capacitors, or passive elements</x:t>
  </x:si>
  <x:si>
    <x:t xml:space="preserve">All Major Components</x:t>
  </x:si>
  <x:si>
    <x:t xml:space="preserve">Component Name</x:t>
  </x:si>
  <x:si>
    <x:t xml:space="preserve">Part Number</x:t>
  </x:si>
  <x:si>
    <x:t xml:space="preserve">Qty.</x:t>
  </x:si>
  <x:si>
    <x:t xml:space="preserve">Total Current
(mA)</x:t>
  </x:si>
  <x:si>
    <x:t xml:space="preserve">Unit</x:t>
  </x:si>
  <x:si>
    <x:t xml:space="preserve">mA</x:t>
  </x:si>
  <x:si>
    <x:t xml:space="preserve">External +5V Power Rail</x:t>
  </x:si>
  <x:si>
    <x:t xml:space="preserve">Supply Voltage Range</x:t>
  </x:si>
  <x:si>
    <x:t xml:space="preserve">Passive Piezo Buzzer</x:t>
  </x:si>
  <x:si>
    <x:t xml:space="preserve">CPT-1407-5TH</x:t>
  </x:si>
  <x:si>
    <x:t xml:space="preserve">5V drive</x:t>
  </x:si>
  <x:si>
    <x:t xml:space="preserve">Subtotal </x:t>
  </x:si>
  <x:si>
    <x:t xml:space="preserve">Safety Margin</x:t>
  </x:si>
  <x:si>
    <x:t xml:space="preserve">Regulator</x:t>
  </x:si>
  <x:si>
    <x:t xml:space="preserve">5V Linear Regulator</x:t>
  </x:si>
  <x:si>
    <x:t xml:space="preserve">L7805CV</x:t>
  </x:si>
  <x:si>
    <x:t xml:space="preserve">Supply
Voltage
Range</x:t>
  </x:si>
  <x:si>
    <x:t xml:space="preserve">Total
Current
(mA)</x:t>
  </x:si>
  <x:si>
    <x:t xml:space="preserve">Absolute
Maximum
Current (mA)</x:t>
  </x:si>
  <x:si>
    <x:t xml:space="preserve">Total Current Required on +3.3V Rail</x:t>
  </x:si>
  <x:si>
    <x:t xml:space="preserve">Output Voltage</x:t>
  </x:si>
  <x:si>
    <x:t xml:space="preserve">Power Source 1 Selection</x:t>
  </x:si>
  <x:si>
    <x:t xml:space="preserve">9V DC Wall Adapter</x:t>
  </x:si>
  <x:si>
    <x:t xml:space="preserve">Tensility 16-00134</x:t>
  </x:si>
  <x:si>
    <x:t xml:space="preserve">100–240V AC</x:t>
  </x:si>
  <x:si>
    <x:t xml:space="preserve"> 9V</x:t>
  </x:si>
  <x:si>
    <x:t xml:space="preserve">Power Rails Connected to External Power Source 1</x:t>
  </x:si>
  <x:si>
    <x:t xml:space="preserve">9V Input</x:t>
  </x:si>
  <x:si>
    <x:t xml:space="preserve">Power Source 2 Selection</x:t>
  </x:si>
  <x:si>
    <x:t xml:space="preserve">Power Rails Connected to External Power Source 2</x:t>
  </x:si>
  <x:si>
    <x:t xml:space="preserve">Capacity
(mAh)</x:t>
  </x:si>
  <x:si>
    <x:t xml:space="preserve">Required
By
Regulators</x:t>
  </x:si>
  <x:si>
    <x:t xml:space="preserve">External Supply Voltage should be determined by the dropout voltage for highest-voltage regulator (e.g., +14V for a +12V regulator).</x:t>
  </x:si>
  <x:si>
    <x:t xml:space="preserve">If you have multiple units in your design (e.g., a base unit and remote unit) then you need a separate power budget for each unit</x:t>
  </x:si>
</x:sst>
</file>

<file path=xl/styles.xml><?xml version="1.0" encoding="utf-8"?>
<x:styleSheet xmlns:x="http://schemas.openxmlformats.org/spreadsheetml/2006/main">
  <x:numFmts count="5">
    <x:numFmt numFmtId="200" formatCode="0.00"/>
    <x:numFmt numFmtId="201" formatCode="0.000"/>
    <x:numFmt numFmtId="202" formatCode="0%"/>
    <x:numFmt numFmtId="203" formatCode="0"/>
    <x:numFmt numFmtId="204" formatCode="0.0%"/>
  </x:numFmts>
  <x:fonts count="15">
    <x:font>
      <x:sz val="12"/>
      <x:color rgb="FF000000"/>
      <x:name val="Calibri"/>
    </x:font>
    <x:font>
      <x:b/>
      <x:sz val="24"/>
      <x:color rgb="FF000000"/>
      <x:name val="Calibri"/>
    </x:font>
    <x:font>
      <x:sz val="12"/>
      <x:color rgb="FF000000"/>
      <x:name val="Calibri"/>
    </x:font>
    <x:font>
      <x:b/>
      <x:sz val="12"/>
      <x:color rgb="FF000000"/>
      <x:name val="Calibri"/>
    </x:font>
    <x:font>
      <x:sz val="12"/>
      <x:name val="Calibri"/>
    </x:font>
    <x:font>
      <x:b/>
      <x:i/>
      <x:sz val="12"/>
      <x:color rgb="FF000000"/>
      <x:name val="Calibri"/>
    </x:font>
    <x:font>
      <x:sz val="9"/>
      <x:name val="細明體"/>
    </x:font>
    <x:font>
      <x:b/>
      <x:sz val="12"/>
      <x:color rgb="FFFFFFFF"/>
      <x:name val="Calibri"/>
    </x:font>
    <x:font>
      <x:b/>
      <x:sz val="12"/>
      <x:color rgb="FF182D3D"/>
      <x:name val="Calibri"/>
    </x:font>
    <x:font>
      <x:b/>
      <x:sz val="12"/>
      <x:color rgb="FF1F3348"/>
      <x:name val="Calibri"/>
    </x:font>
    <x:font>
      <x:sz val="12"/>
      <x:color rgb="FF9D4A09"/>
      <x:name val="Calibri"/>
    </x:font>
    <x:font>
      <x:b/>
      <x:sz val="15"/>
      <x:color rgb="FFFFFFFF"/>
      <x:name val="Calibri"/>
    </x:font>
    <x:font>
      <x:sz val="10"/>
      <x:color rgb="FF35536A"/>
      <x:name val="Calibri"/>
    </x:font>
    <x:font>
      <x:b/>
      <x:sz val="10"/>
      <x:color rgb="FFFFFFFF"/>
      <x:name val="Calibri"/>
    </x:font>
    <x:font>
      <x:sz val="10"/>
      <x:color rgb="FF4B5563"/>
      <x:name val="Calibri"/>
    </x:font>
  </x:fonts>
  <x:fills count="18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EEECE1"/>
      </x:patternFill>
    </x:fill>
    <x:fill>
      <x:patternFill patternType="solid">
        <x:fgColor rgb="FFFFFFFF"/>
      </x:patternFill>
    </x:fill>
    <x:fill>
      <x:patternFill patternType="solid">
        <x:fgColor theme="8" tint="0.59999"/>
      </x:patternFill>
    </x:fill>
    <x:fill>
      <x:patternFill patternType="solid">
        <x:fgColor rgb="FF243447"/>
      </x:patternFill>
    </x:fill>
    <x:fill>
      <x:patternFill patternType="solid">
        <x:fgColor rgb="FFDCE9F2"/>
      </x:patternFill>
    </x:fill>
    <x:fill>
      <x:patternFill patternType="solid">
        <x:fgColor rgb="FFFFF1B8"/>
      </x:patternFill>
    </x:fill>
    <x:fill>
      <x:patternFill patternType="solid">
        <x:fgColor rgb="FFDFE7EF"/>
      </x:patternFill>
    </x:fill>
    <x:fill>
      <x:patternFill patternType="solid">
        <x:fgColor rgb="FFFFF0C2"/>
      </x:patternFill>
    </x:fill>
    <x:fill>
      <x:patternFill patternType="solid">
        <x:fgColor rgb="FF153450"/>
      </x:patternFill>
    </x:fill>
    <x:fill>
      <x:patternFill patternType="solid">
        <x:fgColor rgb="FFEAF2F8"/>
      </x:patternFill>
    </x:fill>
    <x:fill>
      <x:patternFill patternType="solid">
        <x:fgColor rgb="FF164E63"/>
      </x:patternFill>
    </x:fill>
    <x:fill>
      <x:patternFill patternType="solid">
        <x:fgColor rgb="FFFEF3C7"/>
      </x:patternFill>
    </x:fill>
    <x:fill>
      <x:patternFill patternType="solid">
        <x:fgColor rgb="FFF0F7FA"/>
      </x:patternFill>
    </x:fill>
    <x:fill>
      <x:patternFill patternType="solid">
        <x:fgColor rgb="FFECFDF3"/>
      </x:patternFill>
    </x:fill>
    <x:fill>
      <x:patternFill patternType="solid">
        <x:fgColor rgb="FFFCE8E8"/>
      </x:patternFill>
    </x:fill>
  </x:fills>
  <x:borders count="109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  <x:border/>
    <x:border>
      <x:top style="thin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right style="thin">
        <x:color indexed="64"/>
      </x:right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double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double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double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/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right style="thin">
        <x:color indexed="64"/>
      </x:right>
      <x:top style="double">
        <x:color indexed="64"/>
      </x:top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indexed="64"/>
      </x:left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double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434">
    <x:xf numFmtId="0" fontId="0" fillId="0" borderId="0" xfId="0"/>
    <x:xf numFmtId="0" fontId="2" fillId="0" borderId="0" xfId="0" applyFont="1"/>
    <x:xf numFmtId="0" fontId="3" fillId="0" borderId="0" xfId="0" applyFont="1" applyAlignment="1">
      <x:alignment horizontal="center"/>
    </x:xf>
    <x:xf numFmtId="0" fontId="3" fillId="0" borderId="0" xfId="0" applyFont="1"/>
    <x:xf numFmtId="0" fontId="2" fillId="0" borderId="2" xfId="0" applyFont="1" applyBorder="1"/>
    <x:xf numFmtId="0" fontId="2" fillId="0" borderId="0" xfId="0" applyFont="1" applyAlignment="1">
      <x:alignment horizontal="center"/>
    </x:xf>
    <x:xf numFmtId="0" fontId="3" fillId="0" borderId="2" xfId="0" applyFont="1" applyBorder="1"/>
    <x:xf numFmtId="0" fontId="5" fillId="0" borderId="2" xfId="0" applyFont="1" applyBorder="1"/>
    <x:xf numFmtId="0" fontId="5" fillId="0" borderId="2" xfId="0" applyFont="1" applyBorder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2" xfId="0" applyFont="1" applyBorder="1" applyAlignment="1">
      <x:alignment horizontal="center"/>
    </x:xf>
    <x:xf numFmtId="0" fontId="2" fillId="0" borderId="3" xfId="0" applyFont="1" applyBorder="1" applyAlignment="1">
      <x:alignment horizontal="center"/>
    </x:xf>
    <x:xf numFmtId="0" fontId="3" fillId="0" borderId="4" xfId="0" applyFont="1" applyBorder="1" applyAlignment="1">
      <x:alignment horizontal="right"/>
    </x:xf>
    <x:xf numFmtId="0" fontId="4" fillId="0" borderId="4" xfId="0" applyFont="1" applyBorder="1"/>
    <x:xf numFmtId="0" fontId="3" fillId="0" borderId="4" xfId="0" applyFont="1" applyBorder="1"/>
    <x:xf numFmtId="0" fontId="2" fillId="0" borderId="6" xfId="0" applyFont="1" applyBorder="1"/>
    <x:xf numFmtId="0" fontId="2" fillId="0" borderId="6" xfId="0" applyFont="1" applyBorder="1" applyAlignment="1">
      <x:alignment horizontal="center"/>
    </x:xf>
    <x:xf numFmtId="49" fontId="2" fillId="0" borderId="6" xfId="0" applyNumberFormat="1" applyFont="1" applyBorder="1" applyAlignment="1">
      <x:alignment horizontal="center"/>
    </x:xf>
    <x:xf numFmtId="0" fontId="2" fillId="0" borderId="8" xfId="0" applyFont="1" applyBorder="1"/>
    <x:xf numFmtId="0" fontId="2" fillId="0" borderId="8" xfId="0" applyFont="1" applyBorder="1" applyAlignment="1">
      <x:alignment horizontal="center"/>
    </x:xf>
    <x:xf numFmtId="0" fontId="3" fillId="3" borderId="9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/>
    </x:xf>
    <x:xf numFmtId="0" fontId="3" fillId="3" borderId="10" xfId="0" applyFont="1" applyFill="1" applyBorder="1" applyAlignment="1">
      <x:alignment horizontal="center" vertical="center" wrapText="1"/>
    </x:xf>
    <x:xf numFmtId="0" fontId="2" fillId="0" borderId="12" xfId="0" applyFont="1" applyBorder="1" applyAlignment="1">
      <x:alignment horizontal="center"/>
    </x:xf>
    <x:xf numFmtId="0" fontId="2" fillId="0" borderId="4" xfId="0" applyFont="1" applyBorder="1"/>
    <x:xf numFmtId="0" fontId="3" fillId="0" borderId="4" xfId="0" applyFont="1" applyBorder="1" applyAlignment="1">
      <x:alignment horizontal="center"/>
    </x:xf>
    <x:xf numFmtId="0" fontId="3" fillId="0" borderId="13" xfId="0" applyFont="1" applyBorder="1" applyAlignment="1">
      <x:alignment horizontal="center"/>
    </x:xf>
    <x:xf numFmtId="0" fontId="2" fillId="0" borderId="14" xfId="0" applyFont="1" applyBorder="1"/>
    <x:xf numFmtId="0" fontId="2" fillId="0" borderId="15" xfId="0" applyFont="1" applyBorder="1"/>
    <x:xf numFmtId="0" fontId="2" fillId="0" borderId="15" xfId="0" applyFont="1" applyBorder="1" applyAlignment="1">
      <x:alignment horizontal="center"/>
    </x:xf>
    <x:xf numFmtId="0" fontId="2" fillId="0" borderId="17" xfId="0" applyFont="1" applyBorder="1"/>
    <x:xf numFmtId="0" fontId="2" fillId="0" borderId="19" xfId="0" applyFont="1" applyBorder="1"/>
    <x:xf numFmtId="0" fontId="2" fillId="0" borderId="10" xfId="0" applyFon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3" fillId="3" borderId="6" xfId="0" applyFont="1" applyFill="1" applyBorder="1" applyAlignment="1">
      <x:alignment horizontal="center" vertical="center"/>
    </x:xf>
    <x:xf numFmtId="0" fontId="3" fillId="3" borderId="6" xfId="0" applyFont="1" applyFill="1" applyBorder="1" applyAlignment="1">
      <x:alignment horizontal="center" vertical="center" wrapText="1"/>
    </x:xf>
    <x:xf numFmtId="0" fontId="2" fillId="0" borderId="16" xfId="0" applyFont="1" applyBorder="1" applyAlignment="1">
      <x:alignment horizontal="center"/>
    </x:xf>
    <x:xf numFmtId="0" fontId="2" fillId="0" borderId="18" xfId="0" applyFont="1" applyBorder="1" applyAlignment="1">
      <x:alignment horizontal="center"/>
    </x:xf>
    <x:xf numFmtId="0" fontId="2" fillId="0" borderId="20" xfId="0" applyFont="1" applyBorder="1" applyAlignment="1">
      <x:alignment horizontal="center"/>
    </x:xf>
    <x:xf numFmtId="0" fontId="2" fillId="0" borderId="21" xfId="0" applyFont="1" applyBorder="1"/>
    <x:xf numFmtId="0" fontId="2" fillId="0" borderId="21" xfId="0" applyFont="1" applyBorder="1" applyAlignment="1">
      <x:alignment horizontal="center"/>
    </x:xf>
    <x:xf numFmtId="9" fontId="2" fillId="0" borderId="21" xfId="0" applyNumberFormat="1" applyFont="1" applyBorder="1" applyAlignment="1">
      <x:alignment horizontal="center"/>
    </x:xf>
    <x:xf numFmtId="0" fontId="2" fillId="0" borderId="4" xfId="0" applyFont="1" applyBorder="1" applyAlignment="1">
      <x:alignment horizontal="left"/>
    </x:xf>
    <x:xf numFmtId="0" fontId="2" fillId="0" borderId="4" xfId="0" applyFont="1" applyBorder="1" applyAlignment="1">
      <x:alignment horizontal="center"/>
    </x:xf>
    <x:xf numFmtId="0" fontId="5" fillId="0" borderId="4" xfId="0" applyFont="1" applyBorder="1" applyAlignment="1">
      <x:alignment horizontal="left"/>
    </x:xf>
    <x:xf numFmtId="49" fontId="5" fillId="0" borderId="4" xfId="0" applyNumberFormat="1" applyFont="1" applyBorder="1" applyAlignment="1">
      <x:alignment horizontal="right"/>
    </x:xf>
    <x:xf numFmtId="0" fontId="2" fillId="0" borderId="6" xfId="0" applyFont="1" applyBorder="1" applyAlignment="1">
      <x:alignment horizontal="left"/>
    </x:xf>
    <x:xf numFmtId="0" fontId="5" fillId="0" borderId="21" xfId="0" applyFont="1" applyBorder="1" applyAlignment="1">
      <x:alignment horizontal="left" wrapText="1"/>
    </x:xf>
    <x:xf numFmtId="0" fontId="2" fillId="0" borderId="21" xfId="0" applyFont="1" applyBorder="1" applyAlignment="1">
      <x:alignment horizontal="left"/>
    </x:xf>
    <x:xf numFmtId="0" fontId="5" fillId="0" borderId="21" xfId="0" applyFont="1" applyBorder="1" applyAlignment="1">
      <x:alignment horizontal="left"/>
    </x:xf>
    <x:xf numFmtId="0" fontId="5" fillId="3" borderId="10" xfId="0" applyFont="1" applyFill="1" applyBorder="1" applyAlignment="1">
      <x:alignment vertical="center"/>
    </x:xf>
    <x:xf numFmtId="0" fontId="2" fillId="0" borderId="8" xfId="0" applyFont="1" applyBorder="1" applyAlignment="1">
      <x:alignment horizontal="left"/>
    </x:xf>
    <x:xf numFmtId="0" fontId="5" fillId="3" borderId="9" xfId="0" applyFont="1" applyFill="1" applyBorder="1" applyAlignment="1">
      <x:alignment vertical="center"/>
    </x:xf>
    <x:xf numFmtId="0" fontId="5" fillId="3" borderId="23" xfId="0" applyFont="1" applyFill="1" applyBorder="1" applyAlignment="1">
      <x:alignment vertical="center"/>
    </x:xf>
    <x:xf numFmtId="0" fontId="3" fillId="3" borderId="24" xfId="0" applyFont="1" applyFill="1" applyBorder="1" applyAlignment="1">
      <x:alignment horizontal="center" vertical="center"/>
    </x:xf>
    <x:xf numFmtId="0" fontId="3" fillId="3" borderId="24" xfId="0" applyFont="1" applyFill="1" applyBorder="1" applyAlignment="1">
      <x:alignment horizontal="center" vertical="center" wrapText="1"/>
    </x:xf>
    <x:xf numFmtId="0" fontId="3" fillId="3" borderId="25" xfId="0" applyFont="1" applyFill="1" applyBorder="1" applyAlignment="1">
      <x:alignment horizontal="center" vertical="center"/>
    </x:xf>
    <x:xf numFmtId="0" fontId="3" fillId="0" borderId="26" xfId="0" applyFont="1" applyBorder="1" applyAlignment="1">
      <x:alignment horizontal="left"/>
    </x:xf>
    <x:xf numFmtId="0" fontId="2" fillId="0" borderId="27" xfId="0" applyFont="1" applyBorder="1" applyAlignment="1">
      <x:alignment horizontal="center"/>
    </x:xf>
    <x:xf numFmtId="0" fontId="3" fillId="0" borderId="17" xfId="0" applyFont="1" applyBorder="1" applyAlignment="1">
      <x:alignment horizontal="center"/>
    </x:xf>
    <x:xf numFmtId="0" fontId="2" fillId="0" borderId="29" xfId="0" applyFont="1" applyBorder="1" applyAlignment="1">
      <x:alignment horizontal="center"/>
    </x:xf>
    <x:xf numFmtId="0" fontId="2" fillId="0" borderId="33" xfId="0" applyFont="1" applyBorder="1" applyAlignment="1">
      <x:alignment horizontal="center"/>
    </x:xf>
    <x:xf numFmtId="0" fontId="2" fillId="0" borderId="34" xfId="0" applyFont="1" applyBorder="1" applyAlignment="1">
      <x:alignment horizontal="center"/>
    </x:xf>
    <x:xf numFmtId="0" fontId="2" fillId="0" borderId="13" xfId="0" applyFont="1" applyBorder="1"/>
    <x:xf numFmtId="0" fontId="2" fillId="0" borderId="41" xfId="0" applyFont="1" applyBorder="1"/>
    <x:xf numFmtId="0" fontId="2" fillId="0" borderId="22" xfId="0" applyFont="1" applyBorder="1"/>
    <x:xf numFmtId="0" fontId="5" fillId="0" borderId="4" xfId="0" applyFont="1" applyBorder="1" applyAlignment="1">
      <x:alignment horizontal="left" vertical="center"/>
    </x:xf>
    <x:xf numFmtId="49" fontId="5" fillId="0" borderId="4" xfId="0" applyNumberFormat="1" applyFont="1" applyBorder="1" applyAlignment="1">
      <x:alignment horizontal="right" vertical="center"/>
    </x:xf>
    <x:xf numFmtId="0" fontId="4" fillId="0" borderId="4" xfId="0" applyFont="1" applyBorder="1" applyAlignment="1">
      <x:alignment vertical="center"/>
    </x:xf>
    <x:xf numFmtId="0" fontId="2" fillId="0" borderId="4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/>
    </x:xf>
    <x:xf numFmtId="0" fontId="5" fillId="0" borderId="4" xfId="0" applyFont="1" applyBorder="1" applyAlignment="1">
      <x:alignment horizontal="center"/>
    </x:xf>
    <x:xf numFmtId="0" fontId="5" fillId="0" borderId="44" xfId="0" applyFont="1" applyBorder="1" applyAlignment="1">
      <x:alignment horizontal="center"/>
    </x:xf>
    <x:xf numFmtId="0" fontId="3" fillId="0" borderId="45" xfId="0" applyFont="1" applyBorder="1" applyAlignment="1">
      <x:alignment horizontal="center"/>
    </x:xf>
    <x:xf numFmtId="0" fontId="3" fillId="0" borderId="30" xfId="0" applyFont="1" applyBorder="1" applyAlignment="1">
      <x:alignment horizontal="center"/>
    </x:xf>
    <x:xf numFmtId="0" fontId="2" fillId="2" borderId="45" xfId="0" applyFont="1" applyFill="1" applyBorder="1" applyAlignment="1">
      <x:alignment horizontal="center"/>
    </x:xf>
    <x:xf numFmtId="0" fontId="2" fillId="2" borderId="49" xfId="0" applyFont="1" applyFill="1" applyBorder="1" applyAlignment="1">
      <x:alignment horizontal="center"/>
    </x:xf>
    <x:xf numFmtId="0" fontId="2" fillId="0" borderId="31" xfId="0" applyFont="1" applyBorder="1"/>
    <x:xf numFmtId="0" fontId="5" fillId="2" borderId="15" xfId="0" applyFont="1" applyFill="1" applyBorder="1" applyAlignment="1">
      <x:alignment horizontal="center"/>
    </x:xf>
    <x:xf numFmtId="0" fontId="5" fillId="2" borderId="16" xfId="0" applyFont="1" applyFill="1" applyBorder="1" applyAlignment="1">
      <x:alignment horizontal="center"/>
    </x:xf>
    <x:xf numFmtId="0" fontId="2" fillId="0" borderId="28" xfId="0" applyFont="1" applyBorder="1"/>
    <x:xf numFmtId="0" fontId="2" fillId="0" borderId="30" xfId="0" applyFont="1" applyBorder="1"/>
    <x:xf numFmtId="0" fontId="2" fillId="0" borderId="31" xfId="0" applyFont="1" applyBorder="1" applyAlignment="1">
      <x:alignment horizontal="center"/>
    </x:xf>
    <x:xf numFmtId="0" fontId="5" fillId="0" borderId="31" xfId="0" applyFont="1" applyBorder="1" applyAlignment="1">
      <x:alignment horizontal="center"/>
    </x:xf>
    <x:xf numFmtId="0" fontId="2" fillId="0" borderId="53" xfId="0" applyFont="1" applyBorder="1" applyAlignment="1">
      <x:alignment horizontal="center"/>
    </x:xf>
    <x:xf numFmtId="0" fontId="2" fillId="0" borderId="54" xfId="0" applyFont="1" applyBorder="1" applyAlignment="1">
      <x:alignment horizontal="center"/>
    </x:xf>
    <x:xf numFmtId="0" fontId="3" fillId="3" borderId="17" xfId="0" applyFont="1" applyFill="1" applyBorder="1" applyAlignment="1">
      <x:alignment vertical="center"/>
    </x:xf>
    <x:xf numFmtId="0" fontId="3" fillId="3" borderId="6" xfId="0" applyFont="1" applyFill="1" applyBorder="1" applyAlignment="1">
      <x:alignment vertical="center"/>
    </x:xf>
    <x:xf numFmtId="0" fontId="3" fillId="3" borderId="18" xfId="0" applyFont="1" applyFill="1" applyBorder="1" applyAlignment="1">
      <x:alignment horizontal="center" vertical="center"/>
    </x:xf>
    <x:xf numFmtId="0" fontId="5" fillId="0" borderId="4" xfId="0" applyFont="1" applyBorder="1" applyAlignment="1">
      <x:alignment wrapText="1"/>
    </x:xf>
    <x:xf numFmtId="0" fontId="5" fillId="0" borderId="4" xfId="0" applyFont="1" applyBorder="1" applyAlignment="1">
      <x:alignment horizontal="center" wrapText="1"/>
    </x:xf>
    <x:xf numFmtId="0" fontId="2" fillId="0" borderId="21" xfId="0" applyFont="1" applyBorder="1" applyAlignment="1">
      <x:alignment vertical="center" wrapText="1"/>
    </x:xf>
    <x:xf numFmtId="0" fontId="2" fillId="0" borderId="21" xfId="0" applyFont="1" applyBorder="1" applyAlignment="1">
      <x:alignment vertical="center"/>
    </x:xf>
    <x:xf numFmtId="0" fontId="2" fillId="0" borderId="21" xfId="0" applyFont="1" applyBorder="1" applyAlignment="1">
      <x:alignment horizontal="center" vertical="center"/>
    </x:xf>
    <x:xf numFmtId="0" fontId="2" fillId="0" borderId="29" xfId="0" applyFont="1" applyBorder="1" applyAlignment="1">
      <x:alignment horizontal="center" vertical="center"/>
    </x:xf>
    <x:xf numFmtId="0" fontId="5" fillId="0" borderId="21" xfId="0" applyFont="1" applyBorder="1" applyAlignment="1">
      <x:alignment horizontal="left" vertical="center"/>
    </x:xf>
    <x:xf numFmtId="0" fontId="1" fillId="5" borderId="0" xfId="0" applyFont="1" applyFill="1" applyAlignment="1">
      <x:alignment horizontal="center"/>
    </x:xf>
    <x:xf numFmtId="0" fontId="2" fillId="5" borderId="0" xfId="0" applyFont="1" applyFill="1"/>
    <x:xf numFmtId="0" fontId="5" fillId="2" borderId="1" xfId="0" applyFont="1" applyFill="1" applyBorder="1" applyAlignment="1">
      <x:alignment wrapText="1"/>
    </x:xf>
    <x:xf numFmtId="0" fontId="4" fillId="0" borderId="5" xfId="0" applyFont="1" applyBorder="1"/>
    <x:xf numFmtId="0" fontId="4" fillId="0" borderId="7" xfId="0" applyFont="1" applyBorder="1"/>
    <x:xf numFmtId="0" fontId="2" fillId="0" borderId="50" xfId="0" applyFont="1" applyBorder="1" applyAlignment="1">
      <x:alignment wrapText="1"/>
    </x:xf>
    <x:xf numFmtId="0" fontId="2" fillId="0" borderId="4" xfId="0" applyFont="1" applyBorder="1"/>
    <x:xf numFmtId="0" fontId="2" fillId="0" borderId="51" xfId="0" applyFont="1" applyBorder="1"/>
    <x:xf numFmtId="0" fontId="2" fillId="4" borderId="30" xfId="0" applyFont="1" applyFill="1" applyBorder="1" applyAlignment="1">
      <x:alignment horizontal="left" wrapText="1"/>
    </x:xf>
    <x:xf numFmtId="0" fontId="2" fillId="0" borderId="31" xfId="0" applyFont="1" applyBorder="1"/>
    <x:xf numFmtId="0" fontId="2" fillId="0" borderId="52" xfId="0" applyFont="1" applyBorder="1"/>
    <x:xf numFmtId="0" fontId="3" fillId="0" borderId="17" xfId="0" applyFont="1" applyBorder="1" applyAlignment="1">
      <x:alignment horizontal="left" vertical="center" wrapText="1"/>
    </x:xf>
    <x:xf numFmtId="0" fontId="4" fillId="0" borderId="17" xfId="0" applyFont="1" applyBorder="1"/>
    <x:xf numFmtId="0" fontId="4" fillId="0" borderId="28" xfId="0" applyFont="1" applyBorder="1"/>
    <x:xf numFmtId="49" fontId="5" fillId="0" borderId="46" xfId="0" applyNumberFormat="1" applyFont="1" applyBorder="1" applyAlignment="1">
      <x:alignment horizontal="right"/>
    </x:xf>
    <x:xf numFmtId="0" fontId="2" fillId="0" borderId="47" xfId="0" applyFont="1" applyBorder="1"/>
    <x:xf numFmtId="0" fontId="5" fillId="2" borderId="14" xfId="0" applyFont="1" applyFill="1" applyBorder="1" applyAlignment="1">
      <x:alignment wrapText="1"/>
    </x:xf>
    <x:xf numFmtId="0" fontId="4" fillId="0" borderId="15" xfId="0" applyFont="1" applyBorder="1"/>
    <x:xf numFmtId="0" fontId="5" fillId="2" borderId="48" xfId="0" applyFont="1" applyFill="1" applyBorder="1"/>
    <x:xf numFmtId="0" fontId="2" fillId="0" borderId="45" xfId="0" applyFont="1" applyBorder="1"/>
    <x:xf numFmtId="49" fontId="5" fillId="0" borderId="30" xfId="0" applyNumberFormat="1" applyFont="1" applyBorder="1" applyAlignment="1">
      <x:alignment horizontal="right"/>
    </x:xf>
    <x:xf numFmtId="49" fontId="5" fillId="0" borderId="31" xfId="0" applyNumberFormat="1" applyFont="1" applyBorder="1" applyAlignment="1">
      <x:alignment horizontal="right"/>
    </x:xf>
    <x:xf numFmtId="49" fontId="5" fillId="0" borderId="32" xfId="0" applyNumberFormat="1" applyFont="1" applyBorder="1" applyAlignment="1">
      <x:alignment horizontal="right"/>
    </x:xf>
    <x:xf numFmtId="0" fontId="5" fillId="0" borderId="35" xfId="0" applyFont="1" applyBorder="1" applyAlignment="1">
      <x:alignment horizontal="right"/>
    </x:xf>
    <x:xf numFmtId="0" fontId="5" fillId="0" borderId="36" xfId="0" applyFont="1" applyBorder="1" applyAlignment="1">
      <x:alignment horizontal="right"/>
    </x:xf>
    <x:xf numFmtId="0" fontId="5" fillId="0" borderId="37" xfId="0" applyFont="1" applyBorder="1" applyAlignment="1">
      <x:alignment horizontal="right"/>
    </x:xf>
    <x:xf numFmtId="0" fontId="5" fillId="0" borderId="38" xfId="0" applyFont="1" applyBorder="1" applyAlignment="1">
      <x:alignment horizontal="right"/>
    </x:xf>
    <x:xf numFmtId="0" fontId="5" fillId="0" borderId="39" xfId="0" applyFont="1" applyBorder="1" applyAlignment="1">
      <x:alignment horizontal="right"/>
    </x:xf>
    <x:xf numFmtId="0" fontId="5" fillId="0" borderId="40" xfId="0" applyFont="1" applyBorder="1" applyAlignment="1">
      <x:alignment horizontal="right"/>
    </x:xf>
    <x:xf numFmtId="49" fontId="5" fillId="0" borderId="42" xfId="0" applyNumberFormat="1" applyFont="1" applyBorder="1" applyAlignment="1">
      <x:alignment horizontal="right"/>
    </x:xf>
    <x:xf numFmtId="49" fontId="5" fillId="0" borderId="13" xfId="0" applyNumberFormat="1" applyFont="1" applyBorder="1" applyAlignment="1">
      <x:alignment horizontal="right"/>
    </x:xf>
    <x:xf numFmtId="49" fontId="5" fillId="0" borderId="43" xfId="0" applyNumberFormat="1" applyFont="1" applyBorder="1" applyAlignment="1">
      <x:alignment horizontal="right"/>
    </x:xf>
    <x:xf numFmtId="0" fontId="5" fillId="0" borderId="8" xfId="0" applyFont="1" applyBorder="1" applyAlignment="1">
      <x:alignment horizontal="right"/>
    </x:xf>
    <x:xf numFmtId="0" fontId="5" fillId="0" borderId="21" xfId="0" applyFont="1" applyBorder="1" applyAlignment="1">
      <x:alignment horizontal="right"/>
    </x:xf>
    <x:xf numFmtId="49" fontId="5" fillId="0" borderId="8" xfId="0" applyNumberFormat="1" applyFont="1" applyBorder="1" applyAlignment="1">
      <x:alignment horizontal="right"/>
    </x:xf>
    <x:xf numFmtId="0" fontId="4" fillId="0" borderId="8" xfId="0" applyFont="1" applyBorder="1"/>
    <x:xf numFmtId="0" fontId="0" fillId="0" borderId="55" xfId="0" applyNumberFormat="1" applyFont="1" applyFill="1" applyBorder="1"/>
    <x:xf numFmtId="0" fontId="3" fillId="0" borderId="55" xfId="0" applyNumberFormat="1" applyFont="1" applyFill="1" applyBorder="1" applyAlignment="1">
      <x:alignment horizontal="center"/>
    </x:xf>
    <x:xf numFmtId="0" fontId="3" fillId="0" borderId="55" xfId="0" applyNumberFormat="1" applyFont="1" applyFill="1" applyBorder="1"/>
    <x:xf numFmtId="0" fontId="0" fillId="0" borderId="56" xfId="0" applyNumberFormat="1" applyFont="1" applyFill="1" applyBorder="1"/>
    <x:xf numFmtId="0" fontId="0" fillId="0" borderId="55" xfId="0" applyNumberFormat="1" applyFont="1" applyFill="1" applyBorder="1" applyAlignment="1">
      <x:alignment horizontal="center"/>
    </x:xf>
    <x:xf numFmtId="0" fontId="3" fillId="0" borderId="56" xfId="0" applyNumberFormat="1" applyFont="1" applyFill="1" applyBorder="1"/>
    <x:xf numFmtId="0" fontId="5" fillId="0" borderId="56" xfId="0" applyNumberFormat="1" applyFont="1" applyFill="1" applyBorder="1"/>
    <x:xf numFmtId="0" fontId="5" fillId="0" borderId="56" xfId="0" applyNumberFormat="1" applyFont="1" applyFill="1" applyBorder="1" applyAlignment="1">
      <x:alignment horizontal="left"/>
    </x:xf>
    <x:xf numFmtId="0" fontId="0" fillId="0" borderId="55" xfId="0" applyNumberFormat="1" applyFont="1" applyFill="1" applyBorder="1" applyAlignment="1">
      <x:alignment horizontal="left"/>
    </x:xf>
    <x:xf numFmtId="0" fontId="3" fillId="0" borderId="56" xfId="0" applyNumberFormat="1" applyFont="1" applyFill="1" applyBorder="1" applyAlignment="1">
      <x:alignment horizontal="center"/>
    </x:xf>
    <x:xf numFmtId="0" fontId="0" fillId="0" borderId="57" xfId="0" applyNumberFormat="1" applyFont="1" applyFill="1" applyBorder="1" applyAlignment="1">
      <x:alignment horizontal="center"/>
    </x:xf>
    <x:xf numFmtId="0" fontId="3" fillId="0" borderId="55" xfId="0" applyNumberFormat="1" applyFont="1" applyFill="1" applyBorder="1" applyAlignment="1">
      <x:alignment horizontal="right"/>
    </x:xf>
    <x:xf numFmtId="0" fontId="4" fillId="0" borderId="55" xfId="0" applyNumberFormat="1" applyFont="1" applyFill="1" applyBorder="1"/>
    <x:xf numFmtId="0" fontId="0" fillId="0" borderId="58" xfId="0" applyNumberFormat="1" applyFont="1" applyFill="1" applyBorder="1"/>
    <x:xf numFmtId="0" fontId="0" fillId="0" borderId="58" xfId="0" applyNumberFormat="1" applyFont="1" applyFill="1" applyBorder="1" applyAlignment="1">
      <x:alignment horizontal="center"/>
    </x:xf>
    <x:xf numFmtId="49" fontId="0" fillId="0" borderId="58" xfId="0" applyNumberFormat="1" applyFont="1" applyFill="1" applyBorder="1" applyAlignment="1">
      <x:alignment horizontal="center"/>
    </x:xf>
    <x:xf numFmtId="0" fontId="0" fillId="0" borderId="59" xfId="0" applyNumberFormat="1" applyFont="1" applyFill="1" applyBorder="1"/>
    <x:xf numFmtId="0" fontId="0" fillId="0" borderId="59" xfId="0" applyNumberFormat="1" applyFont="1" applyFill="1" applyBorder="1" applyAlignment="1">
      <x:alignment horizontal="center"/>
    </x:xf>
    <x:xf numFmtId="0" fontId="3" fillId="3" borderId="60" xfId="0" applyNumberFormat="1" applyFont="1" applyFill="1" applyBorder="1" applyAlignment="1">
      <x:alignment horizontal="center" vertical="center"/>
    </x:xf>
    <x:xf numFmtId="0" fontId="3" fillId="3" borderId="61" xfId="0" applyNumberFormat="1" applyFont="1" applyFill="1" applyBorder="1" applyAlignment="1">
      <x:alignment horizontal="center" vertical="center"/>
    </x:xf>
    <x:xf numFmtId="0" fontId="3" fillId="3" borderId="61" xfId="0" applyNumberFormat="1" applyFont="1" applyFill="1" applyBorder="1" applyAlignment="1">
      <x:alignment horizontal="center" vertical="center" wrapText="1"/>
    </x:xf>
    <x:xf numFmtId="0" fontId="0" fillId="0" borderId="62" xfId="0" applyNumberFormat="1" applyFont="1" applyFill="1" applyBorder="1" applyAlignment="1">
      <x:alignment horizontal="center"/>
    </x:xf>
    <x:xf numFmtId="0" fontId="3" fillId="0" borderId="63" xfId="0" applyNumberFormat="1" applyFont="1" applyFill="1" applyBorder="1" applyAlignment="1">
      <x:alignment horizontal="center"/>
    </x:xf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5" xfId="0" applyNumberFormat="1" applyFont="1" applyFill="1" applyBorder="1" applyAlignment="1">
      <x:alignment horizontal="center"/>
    </x:xf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0" borderId="61" xfId="0" applyNumberFormat="1" applyFont="1" applyFill="1" applyBorder="1" applyAlignment="1">
      <x:alignment horizontal="center"/>
    </x:xf>
    <x:xf numFmtId="0" fontId="5" fillId="0" borderId="55" xfId="0" applyNumberFormat="1" applyFont="1" applyFill="1" applyBorder="1" applyAlignment="1">
      <x:alignment horizontal="center"/>
    </x:xf>
    <x:xf numFmtId="0" fontId="3" fillId="3" borderId="58" xfId="0" applyNumberFormat="1" applyFont="1" applyFill="1" applyBorder="1" applyAlignment="1">
      <x:alignment horizontal="center" vertical="center"/>
    </x:xf>
    <x:xf numFmtId="0" fontId="3" fillId="3" borderId="58" xfId="0" applyNumberFormat="1" applyFont="1" applyFill="1" applyBorder="1" applyAlignment="1">
      <x:alignment horizontal="center" vertical="center" wrapText="1"/>
    </x:xf>
    <x:xf numFmtId="0" fontId="0" fillId="0" borderId="68" xfId="0" applyNumberFormat="1" applyFont="1" applyFill="1" applyBorder="1" applyAlignment="1">
      <x:alignment horizontal="center"/>
    </x:xf>
    <x:xf numFmtId="0" fontId="0" fillId="0" borderId="69" xfId="0" applyNumberFormat="1" applyFont="1" applyFill="1" applyBorder="1" applyAlignment="1">
      <x:alignment horizontal="center"/>
    </x:xf>
    <x:xf numFmtId="0" fontId="0" fillId="0" borderId="70" xfId="0" applyNumberFormat="1" applyFont="1" applyFill="1" applyBorder="1" applyAlignment="1">
      <x:alignment horizontal="center"/>
    </x:xf>
    <x:xf numFmtId="0" fontId="0" fillId="0" borderId="71" xfId="0" applyNumberFormat="1" applyFont="1" applyFill="1" applyBorder="1"/>
    <x:xf numFmtId="0" fontId="0" fillId="0" borderId="71" xfId="0" applyNumberFormat="1" applyFont="1" applyFill="1" applyBorder="1" applyAlignment="1">
      <x:alignment horizontal="center"/>
    </x:xf>
    <x:xf numFmtId="9" fontId="0" fillId="0" borderId="71" xfId="0" applyNumberFormat="1" applyFont="1" applyFill="1" applyBorder="1" applyAlignment="1">
      <x:alignment horizontal="center"/>
    </x:xf>
    <x:xf numFmtId="0" fontId="5" fillId="0" borderId="55" xfId="0" applyNumberFormat="1" applyFont="1" applyFill="1" applyBorder="1" applyAlignment="1">
      <x:alignment horizontal="left"/>
    </x:xf>
    <x:xf numFmtId="49" fontId="5" fillId="0" borderId="55" xfId="0" applyNumberFormat="1" applyFont="1" applyFill="1" applyBorder="1" applyAlignment="1">
      <x:alignment horizontal="right"/>
    </x:xf>
    <x:xf numFmtId="0" fontId="0" fillId="0" borderId="58" xfId="0" applyNumberFormat="1" applyFont="1" applyFill="1" applyBorder="1" applyAlignment="1">
      <x:alignment horizontal="left"/>
    </x:xf>
    <x:xf numFmtId="0" fontId="5" fillId="0" borderId="71" xfId="0" applyNumberFormat="1" applyFont="1" applyFill="1" applyBorder="1" applyAlignment="1">
      <x:alignment horizontal="left" wrapText="1"/>
    </x:xf>
    <x:xf numFmtId="0" fontId="0" fillId="0" borderId="71" xfId="0" applyNumberFormat="1" applyFont="1" applyFill="1" applyBorder="1" applyAlignment="1">
      <x:alignment horizontal="left"/>
    </x:xf>
    <x:xf numFmtId="0" fontId="5" fillId="0" borderId="71" xfId="0" applyNumberFormat="1" applyFont="1" applyFill="1" applyBorder="1" applyAlignment="1">
      <x:alignment horizontal="left"/>
    </x:xf>
    <x:xf numFmtId="0" fontId="5" fillId="3" borderId="61" xfId="0" applyNumberFormat="1" applyFont="1" applyFill="1" applyBorder="1" applyAlignment="1">
      <x:alignment vertical="center"/>
    </x:xf>
    <x:xf numFmtId="0" fontId="0" fillId="0" borderId="59" xfId="0" applyNumberFormat="1" applyFont="1" applyFill="1" applyBorder="1" applyAlignment="1">
      <x:alignment horizontal="left"/>
    </x:xf>
    <x:xf numFmtId="0" fontId="5" fillId="3" borderId="60" xfId="0" applyNumberFormat="1" applyFont="1" applyFill="1" applyBorder="1" applyAlignment="1">
      <x:alignment vertical="center"/>
    </x:xf>
    <x:xf numFmtId="0" fontId="5" fillId="3" borderId="72" xfId="0" applyNumberFormat="1" applyFont="1" applyFill="1" applyBorder="1" applyAlignment="1">
      <x:alignment vertical="center"/>
    </x:xf>
    <x:xf numFmtId="0" fontId="3" fillId="3" borderId="73" xfId="0" applyNumberFormat="1" applyFont="1" applyFill="1" applyBorder="1" applyAlignment="1">
      <x:alignment horizontal="center" vertical="center"/>
    </x:xf>
    <x:xf numFmtId="0" fontId="3" fillId="3" borderId="73" xfId="0" applyNumberFormat="1" applyFont="1" applyFill="1" applyBorder="1" applyAlignment="1">
      <x:alignment horizontal="center" vertical="center" wrapText="1"/>
    </x:xf>
    <x:xf numFmtId="0" fontId="3" fillId="3" borderId="74" xfId="0" applyNumberFormat="1" applyFont="1" applyFill="1" applyBorder="1" applyAlignment="1">
      <x:alignment horizontal="center" vertical="center"/>
    </x:xf>
    <x:xf numFmtId="0" fontId="3" fillId="0" borderId="75" xfId="0" applyNumberFormat="1" applyFont="1" applyFill="1" applyBorder="1" applyAlignment="1">
      <x:alignment horizontal="left"/>
    </x:xf>
    <x:xf numFmtId="0" fontId="0" fillId="0" borderId="76" xfId="0" applyNumberFormat="1" applyFont="1" applyFill="1" applyBorder="1" applyAlignment="1">
      <x:alignment horizontal="center"/>
    </x:xf>
    <x:xf numFmtId="0" fontId="3" fillId="0" borderId="66" xfId="0" applyNumberFormat="1" applyFont="1" applyFill="1" applyBorder="1" applyAlignment="1">
      <x:alignment horizontal="center"/>
    </x:xf>
    <x:xf numFmtId="0" fontId="0" fillId="0" borderId="77" xfId="0" applyNumberFormat="1" applyFont="1" applyFill="1" applyBorder="1" applyAlignment="1">
      <x:alignment horizontal="center"/>
    </x:xf>
    <x:xf numFmtId="0" fontId="0" fillId="0" borderId="78" xfId="0" applyNumberFormat="1" applyFont="1" applyFill="1" applyBorder="1" applyAlignment="1">
      <x:alignment horizontal="center"/>
    </x:xf>
    <x:xf numFmtId="0" fontId="0" fillId="0" borderId="79" xfId="0" applyNumberFormat="1" applyFont="1" applyFill="1" applyBorder="1" applyAlignment="1">
      <x:alignment horizontal="center"/>
    </x:xf>
    <x:xf numFmtId="0" fontId="0" fillId="0" borderId="63" xfId="0" applyNumberFormat="1" applyFont="1" applyFill="1" applyBorder="1"/>
    <x:xf numFmtId="0" fontId="0" fillId="0" borderId="80" xfId="0" applyNumberFormat="1" applyFont="1" applyFill="1" applyBorder="1"/>
    <x:xf numFmtId="0" fontId="0" fillId="0" borderId="81" xfId="0" applyNumberFormat="1" applyFont="1" applyFill="1" applyBorder="1"/>
    <x:xf numFmtId="0" fontId="5" fillId="0" borderId="55" xfId="0" applyNumberFormat="1" applyFont="1" applyFill="1" applyBorder="1" applyAlignment="1">
      <x:alignment horizontal="left" vertical="center"/>
    </x:xf>
    <x:xf numFmtId="49" fontId="5" fillId="0" borderId="55" xfId="0" applyNumberFormat="1" applyFont="1" applyFill="1" applyBorder="1" applyAlignment="1">
      <x:alignment horizontal="right" vertical="center"/>
    </x:xf>
    <x:xf numFmtId="0" fontId="4" fillId="0" borderId="55" xfId="0" applyNumberFormat="1" applyFont="1" applyFill="1" applyBorder="1" applyAlignment="1">
      <x:alignment vertical="center"/>
    </x:xf>
    <x:xf numFmtId="0" fontId="0" fillId="0" borderId="55" xfId="0" applyNumberFormat="1" applyFont="1" applyFill="1" applyBorder="1" applyAlignment="1">
      <x:alignment horizontal="center" vertical="center"/>
    </x:xf>
    <x:xf numFmtId="0" fontId="0" fillId="0" borderId="82" xfId="0" applyNumberFormat="1" applyFont="1" applyFill="1" applyBorder="1" applyAlignment="1">
      <x:alignment horizontal="center"/>
    </x:xf>
    <x:xf numFmtId="0" fontId="5" fillId="0" borderId="83" xfId="0" applyNumberFormat="1" applyFont="1" applyFill="1" applyBorder="1" applyAlignment="1">
      <x:alignment horizontal="center"/>
    </x:xf>
    <x:xf numFmtId="0" fontId="3" fillId="0" borderId="84" xfId="0" applyNumberFormat="1" applyFont="1" applyFill="1" applyBorder="1" applyAlignment="1">
      <x:alignment horizontal="center"/>
    </x:xf>
    <x:xf numFmtId="0" fontId="3" fillId="0" borderId="85" xfId="0" applyNumberFormat="1" applyFont="1" applyFill="1" applyBorder="1" applyAlignment="1">
      <x:alignment horizontal="center"/>
    </x:xf>
    <x:xf numFmtId="0" fontId="0" fillId="2" borderId="84" xfId="0" applyNumberFormat="1" applyFont="1" applyFill="1" applyBorder="1" applyAlignment="1">
      <x:alignment horizontal="center"/>
    </x:xf>
    <x:xf numFmtId="0" fontId="0" fillId="2" borderId="86" xfId="0" applyNumberFormat="1" applyFont="1" applyFill="1" applyBorder="1" applyAlignment="1">
      <x:alignment horizontal="center"/>
    </x:xf>
    <x:xf numFmtId="0" fontId="0" fillId="0" borderId="87" xfId="0" applyNumberFormat="1" applyFont="1" applyFill="1" applyBorder="1"/>
    <x:xf numFmtId="0" fontId="5" fillId="2" borderId="65" xfId="0" applyNumberFormat="1" applyFont="1" applyFill="1" applyBorder="1" applyAlignment="1">
      <x:alignment horizontal="center"/>
    </x:xf>
    <x:xf numFmtId="0" fontId="5" fillId="2" borderId="68" xfId="0" applyNumberFormat="1" applyFont="1" applyFill="1" applyBorder="1" applyAlignment="1">
      <x:alignment horizontal="center"/>
    </x:xf>
    <x:xf numFmtId="0" fontId="0" fillId="0" borderId="88" xfId="0" applyNumberFormat="1" applyFont="1" applyFill="1" applyBorder="1"/>
    <x:xf numFmtId="0" fontId="0" fillId="0" borderId="85" xfId="0" applyNumberFormat="1" applyFont="1" applyFill="1" applyBorder="1"/>
    <x:xf numFmtId="0" fontId="0" fillId="0" borderId="87" xfId="0" applyNumberFormat="1" applyFont="1" applyFill="1" applyBorder="1" applyAlignment="1">
      <x:alignment horizontal="center"/>
    </x:xf>
    <x:xf numFmtId="0" fontId="5" fillId="0" borderId="87" xfId="0" applyNumberFormat="1" applyFont="1" applyFill="1" applyBorder="1" applyAlignment="1">
      <x:alignment horizontal="center"/>
    </x:xf>
    <x:xf numFmtId="0" fontId="0" fillId="0" borderId="89" xfId="0" applyNumberFormat="1" applyFont="1" applyFill="1" applyBorder="1" applyAlignment="1">
      <x:alignment horizontal="center"/>
    </x:xf>
    <x:xf numFmtId="0" fontId="0" fillId="0" borderId="90" xfId="0" applyNumberFormat="1" applyFont="1" applyFill="1" applyBorder="1" applyAlignment="1">
      <x:alignment horizontal="center"/>
    </x:xf>
    <x:xf numFmtId="0" fontId="3" fillId="3" borderId="66" xfId="0" applyNumberFormat="1" applyFont="1" applyFill="1" applyBorder="1" applyAlignment="1">
      <x:alignment vertical="center"/>
    </x:xf>
    <x:xf numFmtId="0" fontId="3" fillId="3" borderId="58" xfId="0" applyNumberFormat="1" applyFont="1" applyFill="1" applyBorder="1" applyAlignment="1">
      <x:alignment vertical="center"/>
    </x:xf>
    <x:xf numFmtId="0" fontId="3" fillId="3" borderId="69" xfId="0" applyNumberFormat="1" applyFont="1" applyFill="1" applyBorder="1" applyAlignment="1">
      <x:alignment horizontal="center" vertical="center"/>
    </x:xf>
    <x:xf numFmtId="0" fontId="5" fillId="0" borderId="55" xfId="0" applyNumberFormat="1" applyFont="1" applyFill="1" applyBorder="1" applyAlignment="1">
      <x:alignment wrapText="1"/>
    </x:xf>
    <x:xf numFmtId="0" fontId="5" fillId="0" borderId="55" xfId="0" applyNumberFormat="1" applyFont="1" applyFill="1" applyBorder="1" applyAlignment="1">
      <x:alignment horizontal="center" wrapText="1"/>
    </x:xf>
    <x:xf numFmtId="0" fontId="0" fillId="0" borderId="71" xfId="0" applyNumberFormat="1" applyFont="1" applyFill="1" applyBorder="1" applyAlignment="1">
      <x:alignment vertical="center" wrapText="1"/>
    </x:xf>
    <x:xf numFmtId="0" fontId="0" fillId="0" borderId="71" xfId="0" applyNumberFormat="1" applyFont="1" applyFill="1" applyBorder="1" applyAlignment="1">
      <x:alignment vertical="center"/>
    </x:xf>
    <x:xf numFmtId="0" fontId="0" fillId="0" borderId="71" xfId="0" applyNumberFormat="1" applyFont="1" applyFill="1" applyBorder="1" applyAlignment="1">
      <x:alignment horizontal="center" vertical="center"/>
    </x:xf>
    <x:xf numFmtId="0" fontId="0" fillId="0" borderId="77" xfId="0" applyNumberFormat="1" applyFont="1" applyFill="1" applyBorder="1" applyAlignment="1">
      <x:alignment horizontal="center" vertical="center"/>
    </x:xf>
    <x:xf numFmtId="0" fontId="5" fillId="0" borderId="71" xfId="0" applyNumberFormat="1" applyFont="1" applyFill="1" applyBorder="1" applyAlignment="1">
      <x:alignment horizontal="left" vertical="center"/>
    </x:xf>
    <x:xf numFmtId="0" fontId="1" fillId="5" borderId="55" xfId="0" applyNumberFormat="1" applyFont="1" applyFill="1" applyBorder="1" applyAlignment="1">
      <x:alignment horizontal="center"/>
    </x:xf>
    <x:xf numFmtId="0" fontId="0" fillId="5" borderId="55" xfId="0" applyNumberFormat="1" applyFont="1" applyFill="1" applyBorder="1"/>
    <x:xf numFmtId="0" fontId="5" fillId="2" borderId="91" xfId="0" applyNumberFormat="1" applyFont="1" applyFill="1" applyBorder="1" applyAlignment="1">
      <x:alignment wrapText="1"/>
    </x:xf>
    <x:xf numFmtId="0" fontId="4" fillId="0" borderId="92" xfId="0" applyNumberFormat="1" applyFont="1" applyFill="1" applyBorder="1"/>
    <x:xf numFmtId="0" fontId="4" fillId="0" borderId="93" xfId="0" applyNumberFormat="1" applyFont="1" applyFill="1" applyBorder="1"/>
    <x:xf numFmtId="0" fontId="0" fillId="0" borderId="94" xfId="0" applyNumberFormat="1" applyFont="1" applyFill="1" applyBorder="1" applyAlignment="1">
      <x:alignment wrapText="1"/>
    </x:xf>
    <x:xf numFmtId="0" fontId="0" fillId="0" borderId="95" xfId="0" applyNumberFormat="1" applyFont="1" applyFill="1" applyBorder="1"/>
    <x:xf numFmtId="0" fontId="0" fillId="4" borderId="85" xfId="0" applyNumberFormat="1" applyFont="1" applyFill="1" applyBorder="1" applyAlignment="1">
      <x:alignment horizontal="left" wrapText="1"/>
    </x:xf>
    <x:xf numFmtId="0" fontId="0" fillId="0" borderId="96" xfId="0" applyNumberFormat="1" applyFont="1" applyFill="1" applyBorder="1"/>
    <x:xf numFmtId="0" fontId="3" fillId="0" borderId="66" xfId="0" applyNumberFormat="1" applyFont="1" applyFill="1" applyBorder="1" applyAlignment="1">
      <x:alignment horizontal="left" vertical="center" wrapText="1"/>
    </x:xf>
    <x:xf numFmtId="0" fontId="4" fillId="0" borderId="66" xfId="0" applyNumberFormat="1" applyFont="1" applyFill="1" applyBorder="1"/>
    <x:xf numFmtId="0" fontId="4" fillId="0" borderId="88" xfId="0" applyNumberFormat="1" applyFont="1" applyFill="1" applyBorder="1"/>
    <x:xf numFmtId="49" fontId="5" fillId="0" borderId="97" xfId="0" applyNumberFormat="1" applyFont="1" applyFill="1" applyBorder="1" applyAlignment="1">
      <x:alignment horizontal="right"/>
    </x:xf>
    <x:xf numFmtId="0" fontId="0" fillId="0" borderId="98" xfId="0" applyNumberFormat="1" applyFont="1" applyFill="1" applyBorder="1"/>
    <x:xf numFmtId="0" fontId="5" fillId="2" borderId="64" xfId="0" applyNumberFormat="1" applyFont="1" applyFill="1" applyBorder="1" applyAlignment="1">
      <x:alignment wrapText="1"/>
    </x:xf>
    <x:xf numFmtId="0" fontId="4" fillId="0" borderId="65" xfId="0" applyNumberFormat="1" applyFont="1" applyFill="1" applyBorder="1"/>
    <x:xf numFmtId="0" fontId="5" fillId="2" borderId="99" xfId="0" applyNumberFormat="1" applyFont="1" applyFill="1" applyBorder="1"/>
    <x:xf numFmtId="0" fontId="0" fillId="0" borderId="84" xfId="0" applyNumberFormat="1" applyFont="1" applyFill="1" applyBorder="1"/>
    <x:xf numFmtId="49" fontId="5" fillId="0" borderId="85" xfId="0" applyNumberFormat="1" applyFont="1" applyFill="1" applyBorder="1" applyAlignment="1">
      <x:alignment horizontal="right"/>
    </x:xf>
    <x:xf numFmtId="49" fontId="5" fillId="0" borderId="87" xfId="0" applyNumberFormat="1" applyFont="1" applyFill="1" applyBorder="1" applyAlignment="1">
      <x:alignment horizontal="right"/>
    </x:xf>
    <x:xf numFmtId="49" fontId="5" fillId="0" borderId="100" xfId="0" applyNumberFormat="1" applyFont="1" applyFill="1" applyBorder="1" applyAlignment="1">
      <x:alignment horizontal="right"/>
    </x:xf>
    <x:xf numFmtId="0" fontId="5" fillId="0" borderId="101" xfId="0" applyNumberFormat="1" applyFont="1" applyFill="1" applyBorder="1" applyAlignment="1">
      <x:alignment horizontal="right"/>
    </x:xf>
    <x:xf numFmtId="0" fontId="5" fillId="0" borderId="102" xfId="0" applyNumberFormat="1" applyFont="1" applyFill="1" applyBorder="1" applyAlignment="1">
      <x:alignment horizontal="right"/>
    </x:xf>
    <x:xf numFmtId="0" fontId="5" fillId="0" borderId="103" xfId="0" applyNumberFormat="1" applyFont="1" applyFill="1" applyBorder="1" applyAlignment="1">
      <x:alignment horizontal="right"/>
    </x:xf>
    <x:xf numFmtId="0" fontId="5" fillId="0" borderId="104" xfId="0" applyNumberFormat="1" applyFont="1" applyFill="1" applyBorder="1" applyAlignment="1">
      <x:alignment horizontal="right"/>
    </x:xf>
    <x:xf numFmtId="0" fontId="5" fillId="0" borderId="105" xfId="0" applyNumberFormat="1" applyFont="1" applyFill="1" applyBorder="1" applyAlignment="1">
      <x:alignment horizontal="right"/>
    </x:xf>
    <x:xf numFmtId="0" fontId="5" fillId="0" borderId="106" xfId="0" applyNumberFormat="1" applyFont="1" applyFill="1" applyBorder="1" applyAlignment="1">
      <x:alignment horizontal="right"/>
    </x:xf>
    <x:xf numFmtId="49" fontId="5" fillId="0" borderId="107" xfId="0" applyNumberFormat="1" applyFont="1" applyFill="1" applyBorder="1" applyAlignment="1">
      <x:alignment horizontal="right"/>
    </x:xf>
    <x:xf numFmtId="49" fontId="5" fillId="0" borderId="63" xfId="0" applyNumberFormat="1" applyFont="1" applyFill="1" applyBorder="1" applyAlignment="1">
      <x:alignment horizontal="right"/>
    </x:xf>
    <x:xf numFmtId="49" fontId="5" fillId="0" borderId="108" xfId="0" applyNumberFormat="1" applyFont="1" applyFill="1" applyBorder="1" applyAlignment="1">
      <x:alignment horizontal="right"/>
    </x:xf>
    <x:xf numFmtId="0" fontId="5" fillId="0" borderId="59" xfId="0" applyNumberFormat="1" applyFont="1" applyFill="1" applyBorder="1" applyAlignment="1">
      <x:alignment horizontal="right"/>
    </x:xf>
    <x:xf numFmtId="0" fontId="5" fillId="0" borderId="71" xfId="0" applyNumberFormat="1" applyFont="1" applyFill="1" applyBorder="1" applyAlignment="1">
      <x:alignment horizontal="right"/>
    </x:xf>
    <x:xf numFmtId="49" fontId="5" fillId="0" borderId="59" xfId="0" applyNumberFormat="1" applyFont="1" applyFill="1" applyBorder="1" applyAlignment="1">
      <x:alignment horizontal="right"/>
    </x:xf>
    <x:xf numFmtId="0" fontId="4" fillId="0" borderId="59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55" xfId="0" applyNumberFormat="1" applyFont="1" applyFill="1" applyBorder="1"/>
    <x:xf numFmtId="0" fontId="7" fillId="6" borderId="55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55" xfId="0" applyNumberFormat="1" applyFont="1" applyFill="1" applyBorder="1"/>
    <x:xf numFmtId="0" fontId="8" fillId="7" borderId="55" xfId="0" applyNumberFormat="1" applyFont="1" applyFill="1" applyBorder="1"/>
    <x:xf numFmtId="0" fontId="0" fillId="8" borderId="0" xfId="0" applyNumberFormat="1" applyFont="1" applyFill="1" applyBorder="1"/>
    <x:xf numFmtId="0" fontId="0" fillId="8" borderId="55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left"/>
    </x:xf>
    <x:xf numFmtId="0" fontId="3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49" fontId="0" fillId="0" borderId="6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3" fillId="3" borderId="9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9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0" fillId="0" borderId="21" xfId="0" applyNumberFormat="1" applyFont="1" applyFill="1" applyBorder="1" applyAlignment="1">
      <x:alignment horizontal="center"/>
    </x:xf>
    <x:xf numFmtId="9" fontId="0" fillId="0" borderId="2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left"/>
    </x:xf>
    <x:xf numFmtId="49" fontId="5" fillId="0" borderId="0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5" fillId="0" borderId="21" xfId="0" applyNumberFormat="1" applyFont="1" applyFill="1" applyBorder="1" applyAlignment="1">
      <x:alignment horizontal="left" wrapText="1"/>
    </x:xf>
    <x:xf numFmtId="0" fontId="0" fillId="0" borderId="21" xfId="0" applyNumberFormat="1" applyFont="1" applyFill="1" applyBorder="1" applyAlignment="1">
      <x:alignment horizontal="left"/>
    </x:xf>
    <x:xf numFmtId="0" fontId="5" fillId="0" borderId="21" xfId="0" applyNumberFormat="1" applyFont="1" applyFill="1" applyBorder="1" applyAlignment="1">
      <x:alignment horizontal="left"/>
    </x:xf>
    <x:xf numFmtId="0" fontId="5" fillId="3" borderId="1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left"/>
    </x:xf>
    <x:xf numFmtId="0" fontId="5" fillId="3" borderId="9" xfId="0" applyNumberFormat="1" applyFont="1" applyFill="1" applyBorder="1" applyAlignment="1">
      <x:alignment vertical="center"/>
    </x:xf>
    <x:xf numFmtId="0" fontId="5" fillId="3" borderId="23" xfId="0" applyNumberFormat="1" applyFont="1" applyFill="1" applyBorder="1" applyAlignment="1">
      <x:alignment vertical="center"/>
    </x:xf>
    <x:xf numFmtId="0" fontId="3" fillId="3" borderId="24" xfId="0" applyNumberFormat="1" applyFont="1" applyFill="1" applyBorder="1" applyAlignment="1">
      <x:alignment horizontal="center" vertical="center"/>
    </x:xf>
    <x:xf numFmtId="0" fontId="3" fillId="3" borderId="24" xfId="0" applyNumberFormat="1" applyFont="1" applyFill="1" applyBorder="1" applyAlignment="1">
      <x:alignment horizontal="center" vertical="center" wrapText="1"/>
    </x:xf>
    <x:xf numFmtId="0" fontId="3" fillId="3" borderId="25" xfId="0" applyNumberFormat="1" applyFont="1" applyFill="1" applyBorder="1" applyAlignment="1">
      <x:alignment horizontal="center" vertical="center"/>
    </x:xf>
    <x:xf numFmtId="0" fontId="3" fillId="0" borderId="26" xfId="0" applyNumberFormat="1" applyFont="1" applyFill="1" applyBorder="1" applyAlignment="1">
      <x:alignment horizontal="left"/>
    </x:xf>
    <x:xf numFmtId="0" fontId="0" fillId="0" borderId="27" xfId="0" applyNumberFormat="1" applyFont="1" applyFill="1" applyBorder="1" applyAlignment="1">
      <x:alignment horizontal="center"/>
    </x:xf>
    <x:xf numFmtId="0" fontId="3" fillId="0" borderId="17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/>
    </x:xf>
    <x:xf numFmtId="0" fontId="0" fillId="0" borderId="33" xfId="0" applyNumberFormat="1" applyFont="1" applyFill="1" applyBorder="1" applyAlignment="1">
      <x:alignment horizontal="center"/>
    </x:xf>
    <x:xf numFmtId="0" fontId="0" fillId="0" borderId="34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41" xfId="0" applyNumberFormat="1" applyFont="1" applyFill="1" applyBorder="1"/>
    <x:xf numFmtId="0" fontId="0" fillId="0" borderId="22" xfId="0" applyNumberFormat="1" applyFont="1" applyFill="1" applyBorder="1"/>
    <x:xf numFmtId="0" fontId="5" fillId="0" borderId="0" xfId="0" applyNumberFormat="1" applyFont="1" applyFill="1" applyBorder="1" applyAlignment="1">
      <x:alignment horizontal="left" vertical="center"/>
    </x:xf>
    <x:xf numFmtId="49" fontId="5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/>
    </x:xf>
    <x:xf numFmtId="0" fontId="5" fillId="0" borderId="44" xfId="0" applyNumberFormat="1" applyFont="1" applyFill="1" applyBorder="1" applyAlignment="1">
      <x:alignment horizontal="center"/>
    </x:xf>
    <x:xf numFmtId="0" fontId="3" fillId="0" borderId="45" xfId="0" applyNumberFormat="1" applyFont="1" applyFill="1" applyBorder="1" applyAlignment="1">
      <x:alignment horizontal="center"/>
    </x:xf>
    <x:xf numFmtId="0" fontId="3" fillId="0" borderId="30" xfId="0" applyNumberFormat="1" applyFont="1" applyFill="1" applyBorder="1" applyAlignment="1">
      <x:alignment horizontal="center"/>
    </x:xf>
    <x:xf numFmtId="0" fontId="0" fillId="2" borderId="45" xfId="0" applyNumberFormat="1" applyFont="1" applyFill="1" applyBorder="1" applyAlignment="1">
      <x:alignment horizontal="center"/>
    </x:xf>
    <x:xf numFmtId="0" fontId="0" fillId="2" borderId="49" xfId="0" applyNumberFormat="1" applyFont="1" applyFill="1" applyBorder="1" applyAlignment="1">
      <x:alignment horizontal="center"/>
    </x:xf>
    <x:xf numFmtId="0" fontId="0" fillId="0" borderId="31" xfId="0" applyNumberFormat="1" applyFont="1" applyFill="1" applyBorder="1"/>
    <x:xf numFmtId="0" fontId="5" fillId="2" borderId="15" xfId="0" applyNumberFormat="1" applyFont="1" applyFill="1" applyBorder="1" applyAlignment="1">
      <x:alignment horizontal="center"/>
    </x:xf>
    <x:xf numFmtId="0" fontId="5" fillId="2" borderId="16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 applyAlignment="1">
      <x:alignment horizontal="center"/>
    </x:xf>
    <x:xf numFmtId="0" fontId="5" fillId="0" borderId="31" xfId="0" applyNumberFormat="1" applyFont="1" applyFill="1" applyBorder="1" applyAlignment="1">
      <x:alignment horizontal="center"/>
    </x:xf>
    <x:xf numFmtId="0" fontId="0" fillId="0" borderId="53" xfId="0" applyNumberFormat="1" applyFont="1" applyFill="1" applyBorder="1" applyAlignment="1">
      <x:alignment horizontal="center"/>
    </x:xf>
    <x:xf numFmtId="0" fontId="0" fillId="0" borderId="54" xfId="0" applyNumberFormat="1" applyFont="1" applyFill="1" applyBorder="1" applyAlignment="1">
      <x:alignment horizontal="center"/>
    </x:xf>
    <x:xf numFmtId="0" fontId="3" fillId="3" borderId="17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18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 applyAlignment="1">
      <x:alignment horizontal="center" vertical="center"/>
    </x:xf>
    <x:xf numFmtId="0" fontId="5" fillId="0" borderId="21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0" fillId="0" borderId="50" xfId="0" applyNumberFormat="1" applyFont="1" applyFill="1" applyBorder="1" applyAlignment="1">
      <x:alignment wrapText="1"/>
    </x:xf>
    <x:xf numFmtId="0" fontId="0" fillId="0" borderId="51" xfId="0" applyNumberFormat="1" applyFont="1" applyFill="1" applyBorder="1"/>
    <x:xf numFmtId="0" fontId="0" fillId="4" borderId="30" xfId="0" applyNumberFormat="1" applyFont="1" applyFill="1" applyBorder="1" applyAlignment="1">
      <x:alignment horizontal="left" wrapText="1"/>
    </x:xf>
    <x:xf numFmtId="0" fontId="0" fillId="0" borderId="52" xfId="0" applyNumberFormat="1" applyFont="1" applyFill="1" applyBorder="1"/>
    <x:xf numFmtId="0" fontId="3" fillId="0" borderId="17" xfId="0" applyNumberFormat="1" applyFont="1" applyFill="1" applyBorder="1" applyAlignment="1">
      <x:alignment horizontal="left" vertical="center" wrapText="1"/>
    </x:xf>
    <x:xf numFmtId="0" fontId="4" fillId="0" borderId="17" xfId="0" applyNumberFormat="1" applyFont="1" applyFill="1" applyBorder="1"/>
    <x:xf numFmtId="0" fontId="4" fillId="0" borderId="28" xfId="0" applyNumberFormat="1" applyFont="1" applyFill="1" applyBorder="1"/>
    <x:xf numFmtId="49" fontId="5" fillId="0" borderId="46" xfId="0" applyNumberFormat="1" applyFont="1" applyFill="1" applyBorder="1" applyAlignment="1">
      <x:alignment horizontal="right"/>
    </x:xf>
    <x:xf numFmtId="0" fontId="0" fillId="0" borderId="47" xfId="0" applyNumberFormat="1" applyFont="1" applyFill="1" applyBorder="1"/>
    <x:xf numFmtId="0" fontId="5" fillId="2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/>
    <x:xf numFmtId="0" fontId="5" fillId="2" borderId="48" xfId="0" applyNumberFormat="1" applyFont="1" applyFill="1" applyBorder="1"/>
    <x:xf numFmtId="0" fontId="0" fillId="0" borderId="45" xfId="0" applyNumberFormat="1" applyFont="1" applyFill="1" applyBorder="1"/>
    <x:xf numFmtId="49" fontId="5" fillId="0" borderId="30" xfId="0" applyNumberFormat="1" applyFont="1" applyFill="1" applyBorder="1" applyAlignment="1">
      <x:alignment horizontal="right"/>
    </x:xf>
    <x:xf numFmtId="49" fontId="5" fillId="0" borderId="31" xfId="0" applyNumberFormat="1" applyFont="1" applyFill="1" applyBorder="1" applyAlignment="1">
      <x:alignment horizontal="right"/>
    </x:xf>
    <x:xf numFmtId="49" fontId="5" fillId="0" borderId="32" xfId="0" applyNumberFormat="1" applyFont="1" applyFill="1" applyBorder="1" applyAlignment="1">
      <x:alignment horizontal="right"/>
    </x:xf>
    <x:xf numFmtId="0" fontId="5" fillId="0" borderId="35" xfId="0" applyNumberFormat="1" applyFont="1" applyFill="1" applyBorder="1" applyAlignment="1">
      <x:alignment horizontal="right"/>
    </x:xf>
    <x:xf numFmtId="0" fontId="5" fillId="0" borderId="36" xfId="0" applyNumberFormat="1" applyFont="1" applyFill="1" applyBorder="1" applyAlignment="1">
      <x:alignment horizontal="right"/>
    </x:xf>
    <x:xf numFmtId="0" fontId="5" fillId="0" borderId="37" xfId="0" applyNumberFormat="1" applyFont="1" applyFill="1" applyBorder="1" applyAlignment="1">
      <x:alignment horizontal="right"/>
    </x:xf>
    <x:xf numFmtId="0" fontId="5" fillId="0" borderId="38" xfId="0" applyNumberFormat="1" applyFont="1" applyFill="1" applyBorder="1" applyAlignment="1">
      <x:alignment horizontal="right"/>
    </x:xf>
    <x:xf numFmtId="0" fontId="5" fillId="0" borderId="39" xfId="0" applyNumberFormat="1" applyFont="1" applyFill="1" applyBorder="1" applyAlignment="1">
      <x:alignment horizontal="right"/>
    </x:xf>
    <x:xf numFmtId="0" fontId="5" fillId="0" borderId="40" xfId="0" applyNumberFormat="1" applyFont="1" applyFill="1" applyBorder="1" applyAlignment="1">
      <x:alignment horizontal="right"/>
    </x:xf>
    <x:xf numFmtId="49" fontId="5" fillId="0" borderId="42" xfId="0" applyNumberFormat="1" applyFont="1" applyFill="1" applyBorder="1" applyAlignment="1">
      <x:alignment horizontal="right"/>
    </x:xf>
    <x:xf numFmtId="49" fontId="5" fillId="0" borderId="13" xfId="0" applyNumberFormat="1" applyFont="1" applyFill="1" applyBorder="1" applyAlignment="1">
      <x:alignment horizontal="right"/>
    </x:xf>
    <x:xf numFmtId="49" fontId="5" fillId="0" borderId="43" xfId="0" applyNumberFormat="1" applyFont="1" applyFill="1" applyBorder="1" applyAlignment="1">
      <x:alignment horizontal="right"/>
    </x:xf>
    <x:xf numFmtId="0" fontId="5" fillId="0" borderId="8" xfId="0" applyNumberFormat="1" applyFont="1" applyFill="1" applyBorder="1" applyAlignment="1">
      <x:alignment horizontal="right"/>
    </x:xf>
    <x:xf numFmtId="0" fontId="5" fillId="0" borderId="21" xfId="0" applyNumberFormat="1" applyFont="1" applyFill="1" applyBorder="1" applyAlignment="1">
      <x:alignment horizontal="right"/>
    </x:xf>
    <x:xf numFmtId="49" fontId="5" fillId="0" borderId="8" xfId="0" applyNumberFormat="1" applyFont="1" applyFill="1" applyBorder="1" applyAlignment="1">
      <x:alignment horizontal="right"/>
    </x:xf>
    <x:xf numFmtId="0" fontId="4" fillId="0" borderId="8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21" xfId="0" applyNumberFormat="1" applyFont="1" applyFill="1" applyBorder="1" applyAlignment="1">
      <x:alignment horizontal="center"/>
    </x:xf>
    <x:xf numFmtId="200" fontId="5" fillId="0" borderId="8" xfId="0" applyNumberFormat="1" applyFont="1" applyFill="1" applyBorder="1" applyAlignment="1">
      <x:alignment horizontal="right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201" fontId="0" fillId="14" borderId="0" xfId="0" applyNumberFormat="1" applyFont="1" applyFill="1" applyBorder="1"/>
    <x:xf numFmtId="202" fontId="0" fillId="14" borderId="0" xfId="0" applyNumberFormat="1" applyFont="1" applyFill="1" applyBorder="1"/>
    <x:xf numFmtId="203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200" fontId="0" fillId="15" borderId="0" xfId="0" applyNumberFormat="1" applyFont="1" applyFill="1" applyBorder="1" applyAlignment="1">
      <x:alignment wrapText="1"/>
    </x:xf>
    <x:xf numFmtId="200" fontId="0" fillId="1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17" borderId="0" xfId="0" applyNumberFormat="1" applyFont="1" applyFill="1" applyBorder="1" applyAlignment="1">
      <x:alignment wrapText="1"/>
    </x:xf>
    <x:xf numFmtId="201" fontId="0" fillId="15" borderId="0" xfId="0" applyNumberFormat="1" applyFont="1" applyFill="1" applyBorder="1" applyAlignment="1">
      <x:alignment wrapText="1"/>
    </x:xf>
    <x:xf numFmtId="201" fontId="0" fillId="1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17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0" fontId="0" fillId="0" borderId="33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</x:cellXfs>
  <x:cellStyles count="1">
    <x:cellStyle name="一般" xfId="0"/>
  </x:cellStyles>
  <x:dxfs count="1">
    <x:dxf>
      <x:font>
        <x:color rgb="FF0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f9dd444c64d52" /><Relationship Type="http://schemas.openxmlformats.org/officeDocument/2006/relationships/theme" Target="/xl/theme/theme1.xml" Id="R4d0f909664d149d6" /><Relationship Type="http://schemas.openxmlformats.org/officeDocument/2006/relationships/sharedStrings" Target="/xl/sharedStrings.xml" Id="R7086dcbe3c2e4983" /><Relationship Type="http://schemas.openxmlformats.org/officeDocument/2006/relationships/worksheet" Target="/xl/worksheets/sheet1.xml" Id="R6d8f706cef63403e" /><Relationship Type="http://schemas.openxmlformats.org/officeDocument/2006/relationships/worksheet" Target="/xl/worksheets/sheet2.xml" Id="Rdf01d1d90246413c" /><Relationship Type="http://schemas.openxmlformats.org/officeDocument/2006/relationships/worksheet" Target="/xl/worksheets/sheet3.xml" Id="Rb1e597d7119d400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bccee3b1cba440f" /><Relationship Type="http://schemas.openxmlformats.org/officeDocument/2006/relationships/vmlDrawing" Target="/xl/drawings/vmldrawing.vml" Id="R5f1321c6a3054147" /></Relationships>
</file>

<file path=xl/worksheets/sheet1.xml><?xml version="1.0" encoding="utf-8"?>
<x:worksheet xmlns:x="http://schemas.openxmlformats.org/spreadsheetml/2006/main">
  <x:sheetFormatPr defaultColWidth="13.5" defaultRowHeight="15.75"/>
  <x:cols>
    <x:col min="1" max="1" width="22.5" style="1" customWidth="1"/>
    <x:col min="2" max="2" width="20.09765625" style="1" customWidth="1"/>
    <x:col min="3" max="3" width="15.69921875" style="1" customWidth="1"/>
    <x:col min="4" max="4" width="11.5" style="1" customWidth="1"/>
    <x:col min="5" max="5" width="7.19921875" style="1" customWidth="1"/>
    <x:col min="6" max="6" width="12.3984375" style="5" customWidth="1"/>
    <x:col min="7" max="7" width="11.3984375" style="5" customWidth="1"/>
    <x:col min="8" max="8" width="9" style="5" customWidth="1"/>
    <x:col min="9" max="16384" width="13.5" style="1" customWidth="0"/>
  </x:cols>
  <x:sheetData>
    <x:row r="1" ht="30" customHeight="1">
      <x:c r="A1" s="96" t="str">
        <x:v>User Controls &amp; Safety Power Budget — Draft</x:v>
      </x:c>
      <x:c r="B1" s="97"/>
      <x:c r="C1" s="97"/>
      <x:c r="D1" s="97"/>
      <x:c r="E1" s="97"/>
      <x:c r="F1" s="97"/>
      <x:c r="G1" s="97"/>
      <x:c r="H1" s="97"/>
    </x:row>
    <x:row r="2" ht="15" customHeight="1">
      <x:c r="A2" s="12" t="s">
        <x:v>0</x:v>
      </x:c>
      <x:c r="B2" s="13">
        <x:v>107</x:v>
      </x:c>
      <x:c r="D2" s="2"/>
      <x:c r="E2" s="2"/>
    </x:row>
    <x:row r="3" ht="15" customHeight="1">
      <x:c r="A3" s="12" t="s">
        <x:v>1</x:v>
      </x:c>
      <x:c r="B3" s="14" t="str">
        <x:v>EGR304 User Controls &amp; Safety</x:v>
      </x:c>
      <x:c r="C3" s="3"/>
      <x:c r="D3" s="2"/>
      <x:c r="E3" s="2"/>
      <x:c r="F3" s="2"/>
      <x:c r="G3" s="2"/>
      <x:c r="H3" s="2"/>
    </x:row>
    <x:row r="4" ht="15" customHeight="1">
      <x:c r="A4" s="12" t="s">
        <x:v>2</x:v>
      </x:c>
      <x:c r="B4" s="14" t="s">
        <x:v>3</x:v>
      </x:c>
      <x:c r="C4" s="3"/>
      <x:c r="D4" s="2"/>
      <x:c r="E4" s="2"/>
      <x:c r="F4" s="2"/>
      <x:c r="G4" s="2"/>
      <x:c r="H4" s="2"/>
    </x:row>
    <x:row r="5" ht="15" customHeight="1">
      <x:c r="A5" s="12" t="s">
        <x:v>4</x:v>
      </x:c>
      <x:c r="B5" s="14">
        <x:v>1</x:v>
      </x:c>
      <x:c r="C5" s="3"/>
      <x:c r="D5" s="2"/>
      <x:c r="E5" s="2"/>
      <x:c r="F5" s="2"/>
      <x:c r="G5" s="2"/>
      <x:c r="H5" s="2"/>
    </x:row>
    <x:row r="6" ht="15" customHeight="1">
      <x:c r="A6" s="3"/>
      <x:c r="B6" s="3"/>
      <x:c r="C6" s="3"/>
      <x:c r="D6" s="2"/>
      <x:c r="E6" s="2"/>
      <x:c r="F6" s="2"/>
      <x:c r="G6" s="2"/>
      <x:c r="H6" s="2"/>
    </x:row>
    <x:row r="7" ht="15" hidden="1" customHeight="1">
      <x:c r="A7" s="98" t="s">
        <x:v>5</x:v>
      </x:c>
      <x:c r="B7" s="99"/>
      <x:c r="C7" s="99"/>
      <x:c r="D7" s="99"/>
      <x:c r="E7" s="99"/>
      <x:c r="F7" s="99"/>
      <x:c r="G7" s="99"/>
      <x:c r="H7" s="100"/>
    </x:row>
    <x:row r="8" ht="47.400001525878906">
      <x:c r="A8" s="20" t="s">
        <x:v>6</x:v>
      </x:c>
      <x:c r="B8" s="21" t="s">
        <x:v>7</x:v>
      </x:c>
      <x:c r="C8" s="21" t="s">
        <x:v>8</x:v>
      </x:c>
      <x:c r="D8" s="22" t="str">
        <x:v>Supply Voltage / Conditions</x:v>
      </x:c>
      <x:c r="E8" s="21" t="s">
        <x:v>9</x:v>
      </x:c>
      <x:c r="F8" s="22" t="str">
        <x:v>Preliminary / verified current (mA)</x:v>
      </x:c>
      <x:c r="G8" s="22" t="s">
        <x:v>10</x:v>
      </x:c>
      <x:c r="H8" s="21" t="s">
        <x:v>11</x:v>
      </x:c>
    </x:row>
    <x:row r="9" ht="15" customHeight="1">
      <x:c r="A9" s="4"/>
      <x:c r="B9" s="27" t="str">
        <x:v>Microcontroller</x:v>
      </x:c>
      <x:c r="C9" s="28" t="str">
        <x:v>PIC18F57Q43</x:v>
      </x:c>
      <x:c r="D9" s="29" t="str">
        <x:v>USB 5V, 64MHz</x:v>
      </x:c>
      <x:c r="E9" s="29" t="n">
        <x:v>1</x:v>
      </x:c>
      <x:c r="F9" s="29" t="n">
        <x:f>IF('Design Inputs'!B10="","",'Design Inputs'!B10)</x:f>
        <x:v>20</x:v>
      </x:c>
      <x:c r="G9" s="29" t="n">
        <x:f t="shared" ref="G9:G11" si="0">IF(ISNUMBER(F9),E9*F9,"")</x:f>
        <x:v>20</x:v>
      </x:c>
      <x:c r="H9" s="36" t="s">
        <x:v>12</x:v>
      </x:c>
    </x:row>
    <x:row r="10" ht="15" customHeight="1">
      <x:c r="A10" s="4"/>
      <x:c r="B10" s="30" t="str">
        <x:v>Passive Piezo Buzzer</x:v>
      </x:c>
      <x:c r="C10" s="15" t="str">
        <x:v>CPT-1407-5TH</x:v>
      </x:c>
      <x:c r="D10" s="16" t="str">
        <x:v>External +5V</x:v>
      </x:c>
      <x:c r="E10" s="16" t="n">
        <x:v>1</x:v>
      </x:c>
      <x:c r="F10" s="16" t="n">
        <x:f>'Design Inputs'!B14</x:f>
        <x:v>5</x:v>
      </x:c>
      <x:c r="G10" s="16" t="n">
        <x:f t="shared" si="0">IF(ISNUMBER(F10),E10*F10,"")</x:f>
        <x:v>5</x:v>
      </x:c>
      <x:c r="H10" s="37" t="s">
        <x:v>12</x:v>
      </x:c>
    </x:row>
    <x:row r="11" ht="15" customHeight="1">
      <x:c r="A11" s="4"/>
      <x:c r="B11" s="30" t="str">
        <x:v>Buzzer Driver</x:v>
      </x:c>
      <x:c r="C11" s="15" t="str">
        <x:v>2N3904TF</x:v>
      </x:c>
      <x:c r="D11" s="16" t="str">
        <x:v>RB4 GPIO drive</x:v>
      </x:c>
      <x:c r="E11" s="16" t="n">
        <x:v>1</x:v>
      </x:c>
      <x:c r="F11" s="400" t="n">
        <x:f>IF('Design Inputs'!B6="","",('Design Inputs'!B4-'Design Inputs'!B7)/'Design Inputs'!B6*1000)</x:f>
        <x:v>0.9148936170212766</x:v>
      </x:c>
      <x:c r="G11" s="400" t="n">
        <x:f t="shared" si="0">IF(ISNUMBER(F11),E11*F11,"")</x:f>
        <x:v>0.9148936170212766</x:v>
      </x:c>
      <x:c r="H11" s="37" t="s">
        <x:v>12</x:v>
      </x:c>
    </x:row>
    <x:row r="12" ht="15" customHeight="1">
      <x:c r="A12" s="4"/>
      <x:c r="B12" s="30"/>
      <x:c r="C12" s="15"/>
      <x:c r="D12" s="17"/>
      <x:c r="E12" s="16"/>
      <x:c r="F12" s="16"/>
      <x:c r="G12" s="16"/>
      <x:c r="H12" s="37"/>
    </x:row>
    <x:row r="13" ht="15" customHeight="1">
      <x:c r="A13" s="4"/>
      <x:c r="B13" s="30"/>
      <x:c r="C13" s="15"/>
      <x:c r="D13" s="16"/>
      <x:c r="E13" s="16"/>
      <x:c r="F13" s="16"/>
      <x:c r="G13" s="16"/>
      <x:c r="H13" s="37"/>
    </x:row>
    <x:row r="14" ht="15" customHeight="1">
      <x:c r="A14" s="4"/>
      <x:c r="B14" s="31"/>
      <x:c r="C14" s="15"/>
      <x:c r="D14" s="32"/>
      <x:c r="E14" s="32"/>
      <x:c r="F14" s="32"/>
      <x:c r="G14" s="32"/>
      <x:c r="H14" s="38"/>
    </x:row>
    <x:row r="15" ht="15" customHeight="1">
      <x:c r="A15" s="6"/>
      <x:c r="B15" s="14"/>
      <x:c r="C15" s="14"/>
      <x:c r="D15" s="25"/>
      <x:c r="E15" s="25"/>
      <x:c r="F15" s="25"/>
      <x:c r="G15" s="26"/>
      <x:c r="H15" s="26"/>
    </x:row>
    <x:row r="16" ht="47.400001525878906">
      <x:c r="A16" s="52" t="s">
        <x:v>13</x:v>
      </x:c>
      <x:c r="B16" s="21" t="s">
        <x:v>7</x:v>
      </x:c>
      <x:c r="C16" s="21" t="s">
        <x:v>8</x:v>
      </x:c>
      <x:c r="D16" s="22" t="s">
        <x:v>14</x:v>
      </x:c>
      <x:c r="E16" s="21" t="s">
        <x:v>9</x:v>
      </x:c>
      <x:c r="F16" s="22" t="str">
        <x:v>Budget current (mA), provisional</x:v>
      </x:c>
      <x:c r="G16" s="22" t="s">
        <x:v>10</x:v>
      </x:c>
      <x:c r="H16" s="21" t="s">
        <x:v>11</x:v>
      </x:c>
    </x:row>
    <x:row r="17" ht="15" customHeight="1">
      <x:c r="A17" s="4"/>
      <x:c r="B17" s="18" t="s">
        <x:v>15</x:v>
      </x:c>
      <x:c r="C17" s="18" t="s">
        <x:v>16</x:v>
      </x:c>
      <x:c r="D17" s="19" t="s">
        <x:v>17</x:v>
      </x:c>
      <x:c r="E17" s="19">
        <x:v>1</x:v>
      </x:c>
      <x:c r="F17" s="19">
        <x:v>5</x:v>
      </x:c>
      <x:c r="G17" s="19" t="n">
        <x:f>E17*F17</x:f>
        <x:v>5</x:v>
      </x:c>
      <x:c r="H17" s="19" t="s">
        <x:v>12</x:v>
      </x:c>
    </x:row>
    <x:row r="18" ht="28" customHeight="1">
      <x:c r="A18" s="4"/>
      <x:c r="B18" s="397" t="str">
        <x:v>910Ω preload (planned)</x:v>
      </x:c>
      <x:c r="C18" s="397" t="str">
        <x:v>910Ω, 1%</x:v>
      </x:c>
      <x:c r="D18" s="16" t="str">
        <x:v>External +5V</x:v>
      </x:c>
      <x:c r="E18" s="16" t="n">
        <x:v>1</x:v>
      </x:c>
      <x:c r="F18" s="400" t="n">
        <x:f>IF('Design Inputs'!B26&gt;0,'Design Inputs'!B4/'Design Inputs'!B26*1000,"")</x:f>
        <x:v>5.4945054945054945</x:v>
      </x:c>
      <x:c r="G18" s="400" t="n">
        <x:f>E18*F18</x:f>
        <x:v>5.4945054945054945</x:v>
      </x:c>
      <x:c r="H18" s="16" t="str">
        <x:v>mA</x:v>
      </x:c>
    </x:row>
    <x:row r="19" ht="15" customHeight="1">
      <x:c r="A19" s="4"/>
      <x:c r="B19" s="39"/>
      <x:c r="C19" s="39"/>
      <x:c r="D19" s="40"/>
      <x:c r="E19" s="40"/>
      <x:c r="F19" s="40"/>
      <x:c r="G19" s="40"/>
      <x:c r="H19" s="40"/>
    </x:row>
    <x:row r="20" ht="15" customHeight="1">
      <x:c r="A20" s="4"/>
      <x:c r="B20" s="24"/>
      <x:c r="C20" s="24"/>
      <x:c r="D20" s="128" t="s">
        <x:v>18</x:v>
      </x:c>
      <x:c r="E20" s="128"/>
      <x:c r="F20" s="128"/>
      <x:c r="G20" s="399" t="n">
        <x:f>SUM(G17:G19)</x:f>
        <x:v>10.494505494505495</x:v>
      </x:c>
      <x:c r="H20" s="19" t="s">
        <x:v>12</x:v>
      </x:c>
    </x:row>
    <x:row r="21" ht="15" customHeight="1">
      <x:c r="A21" s="4"/>
      <x:c r="B21" s="24"/>
      <x:c r="C21" s="24"/>
      <x:c r="D21" s="129" t="s">
        <x:v>19</x:v>
      </x:c>
      <x:c r="E21" s="129"/>
      <x:c r="F21" s="129"/>
      <x:c r="G21" s="41">
        <x:v>0.25</x:v>
      </x:c>
      <x:c r="H21" s="41"/>
    </x:row>
    <x:row r="22" ht="15" customHeight="1">
      <x:c r="A22" s="7"/>
      <x:c r="B22" s="24"/>
      <x:c r="C22" s="24"/>
      <x:c r="D22" s="128" t="str">
        <x:v>Required current (+25%)</x:v>
      </x:c>
      <x:c r="E22" s="128"/>
      <x:c r="F22" s="128"/>
      <x:c r="G22" s="399" t="n">
        <x:f>G20*(1+G21)</x:f>
        <x:v>13.118131868131869</x:v>
      </x:c>
      <x:c r="H22" s="19" t="s">
        <x:v>12</x:v>
      </x:c>
    </x:row>
    <x:row r="23" ht="15" customHeight="1">
      <x:c r="A23" s="8"/>
      <x:c r="B23" s="9"/>
      <x:c r="C23" s="9"/>
      <x:c r="D23" s="5"/>
      <x:c r="E23" s="5"/>
      <x:c r="G23" s="23"/>
      <x:c r="H23" s="23"/>
    </x:row>
    <x:row r="24" ht="15" customHeight="1">
      <x:c r="A24" s="47" t="s">
        <x:v>20</x:v>
      </x:c>
      <x:c r="B24" s="48" t="s">
        <x:v>21</x:v>
      </x:c>
      <x:c r="C24" s="48" t="s">
        <x:v>22</x:v>
      </x:c>
      <x:c r="D24" s="40" t="str">
        <x:v>9V to 5V</x:v>
      </x:c>
      <x:c r="E24" s="40">
        <x:v>1</x:v>
      </x:c>
      <x:c r="F24" s="40">
        <x:v>1500</x:v>
      </x:c>
      <x:c r="G24" s="40" t="n">
        <x:f>E24*F24</x:f>
        <x:v>1500</x:v>
      </x:c>
      <x:c r="H24" s="40" t="s">
        <x:v>12</x:v>
      </x:c>
    </x:row>
    <x:row r="25" ht="15" customHeight="1">
      <x:c r="A25" s="44"/>
      <x:c r="B25" s="130" t="str">
        <x:v>Regulator rated headroom</x:v>
      </x:c>
      <x:c r="C25" s="131"/>
      <x:c r="D25" s="131"/>
      <x:c r="E25" s="131"/>
      <x:c r="F25" s="131"/>
      <x:c r="G25" s="399" t="n">
        <x:f>G24-G22</x:f>
        <x:v>1486.881868131868</x:v>
      </x:c>
      <x:c r="H25" s="19" t="s">
        <x:v>12</x:v>
      </x:c>
    </x:row>
    <x:row r="26" ht="15" customHeight="1">
      <x:c r="A26" s="44"/>
      <x:c r="B26" s="45"/>
      <x:c r="C26" s="13"/>
      <x:c r="D26" s="13"/>
      <x:c r="E26" s="13"/>
      <x:c r="F26" s="13"/>
      <x:c r="G26" s="43"/>
      <x:c r="H26" s="43"/>
    </x:row>
    <x:row r="27" ht="47.400001525878906">
      <x:c r="A27" s="50" t="str">
        <x:v>USB +5V Rail (Target)</x:v>
      </x:c>
      <x:c r="B27" s="21" t="s">
        <x:v>7</x:v>
      </x:c>
      <x:c r="C27" s="21" t="s">
        <x:v>8</x:v>
      </x:c>
      <x:c r="D27" s="22" t="s">
        <x:v>23</x:v>
      </x:c>
      <x:c r="E27" s="21" t="s">
        <x:v>9</x:v>
      </x:c>
      <x:c r="F27" s="22" t="str">
        <x:v>Budget current (mA), provisional</x:v>
      </x:c>
      <x:c r="G27" s="22" t="s">
        <x:v>24</x:v>
      </x:c>
      <x:c r="H27" s="21" t="s">
        <x:v>11</x:v>
      </x:c>
    </x:row>
    <x:row r="28" ht="30" customHeight="1">
      <x:c r="A28" s="4"/>
      <x:c r="B28" s="396" t="str">
        <x:v>PIC target (64 MHz)</x:v>
      </x:c>
      <x:c r="C28" s="396" t="str">
        <x:v>PIC18F57Q43</x:v>
      </x:c>
      <x:c r="D28" s="19" t="str">
        <x:v>VTG = 5V</x:v>
      </x:c>
      <x:c r="E28" s="19" t="n">
        <x:v>1</x:v>
      </x:c>
      <x:c r="F28" s="399" t="n">
        <x:f>IF('Design Inputs'!B10="","",'Design Inputs'!B10)</x:f>
        <x:v>20</x:v>
      </x:c>
      <x:c r="G28" s="399" t="n">
        <x:f t="shared" ref="G28:G30" si="1">IF(ISNUMBER(F28),E28*F28,"")</x:f>
        <x:v>20</x:v>
      </x:c>
      <x:c r="H28" s="19" t="str">
        <x:v>mA</x:v>
      </x:c>
    </x:row>
    <x:row r="29" ht="30" customHeight="1">
      <x:c r="A29" s="4"/>
      <x:c r="B29" s="397" t="str">
        <x:v>Red + green LEDs</x:v>
      </x:c>
      <x:c r="C29" s="397" t="str">
        <x:v>330 Ω / Vf,min 1.8V</x:v>
      </x:c>
      <x:c r="D29" s="16" t="str">
        <x:v>GPIO = 5V</x:v>
      </x:c>
      <x:c r="E29" s="16" t="n">
        <x:v>2</x:v>
      </x:c>
      <x:c r="F29" s="400" t="n">
        <x:f>IF(OR('Design Inputs'!B8="",'Design Inputs'!B9=""),"",MAX(0,('Design Inputs'!B4-'Design Inputs'!B9)/'Design Inputs'!B8*1000))</x:f>
        <x:v>9.696969696969697</x:v>
      </x:c>
      <x:c r="G29" s="400" t="n">
        <x:f t="shared" si="1">IF(ISNUMBER(F29),E29*F29,"")</x:f>
        <x:v>19.393939393939394</x:v>
      </x:c>
      <x:c r="H29" s="16" t="str">
        <x:v>mA</x:v>
      </x:c>
    </x:row>
    <x:row r="30" ht="30" customHeight="1">
      <x:c r="A30" s="4"/>
      <x:c r="B30" s="398" t="str">
        <x:v>Pot + BJT base</x:v>
      </x:c>
      <x:c r="C30" s="398" t="str">
        <x:v>10k pot + 4.7k base</x:v>
      </x:c>
      <x:c r="D30" s="40" t="str">
        <x:v>VTG = 5V</x:v>
      </x:c>
      <x:c r="E30" s="40" t="n">
        <x:v>1</x:v>
      </x:c>
      <x:c r="F30" s="401" t="n">
        <x:f>IF('Design Inputs'!B6="","",'Design Inputs'!B4/'Design Inputs'!B5*1000+MAX(0,('Design Inputs'!B4-'Design Inputs'!B7)/'Design Inputs'!B6*1000))</x:f>
        <x:v>1.4148936170212765</x:v>
      </x:c>
      <x:c r="G30" s="401" t="n">
        <x:f t="shared" si="1">IF(ISNUMBER(F30),E30*F30,"")</x:f>
        <x:v>1.4148936170212765</x:v>
      </x:c>
      <x:c r="H30" s="40" t="str">
        <x:v>mA</x:v>
      </x:c>
    </x:row>
    <x:row r="31" ht="15" customHeight="1">
      <x:c r="A31" s="4"/>
      <x:c r="B31" s="24"/>
      <x:c r="C31" s="24"/>
      <x:c r="D31" s="128" t="s">
        <x:v>18</x:v>
      </x:c>
      <x:c r="E31" s="128"/>
      <x:c r="F31" s="402"/>
      <x:c r="G31" s="399" t="n">
        <x:f>IF(COUNT(G28:G30)=3,SUM(G28:G30),"")</x:f>
        <x:v>40.80883301096067</x:v>
      </x:c>
      <x:c r="H31" s="19" t="s">
        <x:v>12</x:v>
      </x:c>
    </x:row>
    <x:row r="32" ht="15" customHeight="1">
      <x:c r="A32" s="4"/>
      <x:c r="D32" s="129" t="s">
        <x:v>19</x:v>
      </x:c>
      <x:c r="E32" s="129"/>
      <x:c r="F32" s="129"/>
      <x:c r="G32" s="41" t="n">
        <x:v>0.25</x:v>
      </x:c>
      <x:c r="H32" s="41"/>
    </x:row>
    <x:row r="33" ht="15" customHeight="1">
      <x:c r="A33" s="7"/>
      <x:c r="D33" s="128" t="str">
        <x:v>Required Current (incl. 25%)</x:v>
      </x:c>
      <x:c r="E33" s="128"/>
      <x:c r="F33" s="128"/>
      <x:c r="G33" s="399" t="n">
        <x:f>IF(ISNUMBER(G31),G31*(1+G32),"")</x:f>
        <x:v>51.01104126370083</x:v>
      </x:c>
      <x:c r="H33" s="19" t="s">
        <x:v>12</x:v>
      </x:c>
    </x:row>
    <x:row r="34" ht="15" customHeight="1">
      <x:c r="A34" s="8"/>
      <x:c r="B34" s="42"/>
      <x:c r="C34" s="42"/>
      <x:c r="D34" s="43"/>
      <x:c r="E34" s="43"/>
      <x:c r="F34" s="43"/>
      <x:c r="G34" s="11"/>
      <x:c r="H34" s="11"/>
    </x:row>
    <x:row r="35" ht="15" customHeight="1">
      <x:c r="A35" s="49" t="s">
        <x:v>20</x:v>
      </x:c>
      <x:c r="B35" s="48" t="str">
        <x:v>Nano target LDO</x:v>
      </x:c>
      <x:c r="C35" s="48" t="str">
        <x:v>MIC5353</x:v>
      </x:c>
      <x:c r="D35" s="40" t="str">
        <x:v>USB → VTG</x:v>
      </x:c>
      <x:c r="E35" s="40" t="n">
        <x:v>1</x:v>
      </x:c>
      <x:c r="F35" s="40" t="n">
        <x:v>500</x:v>
      </x:c>
      <x:c r="G35" s="401" t="n">
        <x:f>E35*F35</x:f>
        <x:v>500</x:v>
      </x:c>
      <x:c r="H35" s="40" t="s">
        <x:v>12</x:v>
      </x:c>
    </x:row>
    <x:row r="36" ht="15" customHeight="1">
      <x:c r="A36" s="44"/>
      <x:c r="B36" s="130" t="str">
        <x:v>Remaining Regulator Rated Current</x:v>
      </x:c>
      <x:c r="C36" s="130"/>
      <x:c r="D36" s="130"/>
      <x:c r="E36" s="130"/>
      <x:c r="F36" s="130"/>
      <x:c r="G36" s="399" t="n">
        <x:f>IF(ISNUMBER(G33),G35-G33,"")</x:f>
        <x:v>448.9889587362992</x:v>
      </x:c>
      <x:c r="H36" s="19" t="s">
        <x:v>12</x:v>
      </x:c>
    </x:row>
    <x:row r="37" ht="15" customHeight="1">
      <x:c r="A37" s="66"/>
      <x:c r="B37" s="67"/>
      <x:c r="C37" s="68"/>
      <x:c r="D37" s="68"/>
      <x:c r="E37" s="68"/>
      <x:c r="F37" s="68"/>
      <x:c r="G37" s="69"/>
      <x:c r="H37" s="69"/>
    </x:row>
    <x:row r="38" ht="47.400001525878906">
      <x:c r="A38" s="50" t="str">
        <x:v>3.3V Rail — N/A</x:v>
      </x:c>
      <x:c r="B38" s="21" t="s">
        <x:v>7</x:v>
      </x:c>
      <x:c r="C38" s="21" t="s">
        <x:v>8</x:v>
      </x:c>
      <x:c r="D38" s="22" t="s">
        <x:v>23</x:v>
      </x:c>
      <x:c r="E38" s="21" t="s">
        <x:v>9</x:v>
      </x:c>
      <x:c r="F38" s="22" t="s">
        <x:v>25</x:v>
      </x:c>
      <x:c r="G38" s="22" t="s">
        <x:v>24</x:v>
      </x:c>
      <x:c r="H38" s="21" t="s">
        <x:v>11</x:v>
      </x:c>
    </x:row>
    <x:row r="39" ht="15" customHeight="1">
      <x:c r="A39" s="4"/>
      <x:c r="B39" s="18"/>
      <x:c r="C39" s="18"/>
      <x:c r="D39" s="19"/>
      <x:c r="E39" s="19"/>
      <x:c r="F39" s="19"/>
      <x:c r="G39" s="19"/>
      <x:c r="H39" s="19" t="s">
        <x:v>12</x:v>
      </x:c>
    </x:row>
    <x:row r="40" ht="15" customHeight="1">
      <x:c r="A40" s="4"/>
      <x:c r="B40" s="39"/>
      <x:c r="C40" s="39"/>
      <x:c r="D40" s="40"/>
      <x:c r="E40" s="40"/>
      <x:c r="F40" s="40"/>
      <x:c r="G40" s="40" t="n">
        <x:f t="shared" ref="G40" si="2">E40*F40</x:f>
        <x:v>0</x:v>
      </x:c>
      <x:c r="H40" s="40" t="s">
        <x:v>12</x:v>
      </x:c>
    </x:row>
    <x:row r="41" ht="15" customHeight="1">
      <x:c r="A41" s="4"/>
      <x:c r="C41" s="64"/>
      <x:c r="D41" s="119" t="s">
        <x:v>18</x:v>
      </x:c>
      <x:c r="E41" s="120"/>
      <x:c r="F41" s="121"/>
      <x:c r="G41" s="19"/>
      <x:c r="H41" s="19" t="s">
        <x:v>12</x:v>
      </x:c>
    </x:row>
    <x:row r="42" ht="15" customHeight="1">
      <x:c r="A42" s="4"/>
      <x:c r="C42" s="65"/>
      <x:c r="D42" s="122" t="s">
        <x:v>19</x:v>
      </x:c>
      <x:c r="E42" s="123"/>
      <x:c r="F42" s="124"/>
      <x:c r="G42" s="41"/>
      <x:c r="H42" s="41"/>
    </x:row>
    <x:row r="43" ht="15" customHeight="1">
      <x:c r="A43" s="4"/>
      <x:c r="B43" s="24"/>
      <x:c r="C43" s="65"/>
      <x:c r="D43" s="119" t="s">
        <x:v>26</x:v>
      </x:c>
      <x:c r="E43" s="120"/>
      <x:c r="F43" s="121"/>
      <x:c r="G43" s="19"/>
      <x:c r="H43" s="19" t="s">
        <x:v>12</x:v>
      </x:c>
    </x:row>
    <x:row r="44" ht="15" customHeight="1">
      <x:c r="A44" s="8"/>
      <x:c r="C44" s="63"/>
      <x:c r="D44" s="5"/>
      <x:c r="E44" s="5"/>
      <x:c r="G44" s="70"/>
      <x:c r="H44" s="25"/>
    </x:row>
    <x:row r="45" ht="31.799999237060547">
      <x:c r="A45" s="95" t="s">
        <x:v>20</x:v>
      </x:c>
      <x:c r="B45" s="91"/>
      <x:c r="C45" s="92"/>
      <x:c r="D45" s="93"/>
      <x:c r="E45" s="93"/>
      <x:c r="F45" s="93"/>
      <x:c r="G45" s="93"/>
      <x:c r="H45" s="93" t="s">
        <x:v>12</x:v>
      </x:c>
    </x:row>
    <x:row r="46" ht="15" customHeight="1">
      <x:c r="A46" s="24"/>
      <x:c r="B46" s="125"/>
      <x:c r="C46" s="126"/>
      <x:c r="D46" s="126"/>
      <x:c r="E46" s="126"/>
      <x:c r="F46" s="127"/>
      <x:c r="G46" s="19"/>
      <x:c r="H46" s="19" t="s">
        <x:v>12</x:v>
      </x:c>
    </x:row>
    <x:row r="47" s="24" customFormat="1" ht="15" customHeight="1">
      <x:c r="A47" s="89"/>
      <x:c r="B47" s="89"/>
      <x:c r="C47" s="89"/>
      <x:c r="D47" s="89"/>
      <x:c r="E47" s="89"/>
      <x:c r="F47" s="90"/>
      <x:c r="G47" s="72"/>
      <x:c r="H47" s="71"/>
    </x:row>
    <x:row r="48" ht="47.400001525878906">
      <x:c r="A48" s="53" t="str">
        <x:v>9V DC source</x:v>
      </x:c>
      <x:c r="B48" s="54" t="s">
        <x:v>7</x:v>
      </x:c>
      <x:c r="C48" s="54" t="s">
        <x:v>8</x:v>
      </x:c>
      <x:c r="D48" s="55" t="s">
        <x:v>23</x:v>
      </x:c>
      <x:c r="E48" s="55" t="s">
        <x:v>27</x:v>
      </x:c>
      <x:c r="F48" s="55" t="str">
        <x:v>Rated supply capacity (mA)</x:v>
      </x:c>
      <x:c r="G48" s="55" t="s">
        <x:v>24</x:v>
      </x:c>
      <x:c r="H48" s="56" t="s">
        <x:v>11</x:v>
      </x:c>
    </x:row>
    <x:row r="49" ht="15" customHeight="1">
      <x:c r="A49" s="57" t="s">
        <x:v>28</x:v>
      </x:c>
      <x:c r="B49" s="51" t="s">
        <x:v>29</x:v>
      </x:c>
      <x:c r="C49" s="19" t="s">
        <x:v>30</x:v>
      </x:c>
      <x:c r="D49" s="19" t="s">
        <x:v>31</x:v>
      </x:c>
      <x:c r="E49" s="19" t="s">
        <x:v>32</x:v>
      </x:c>
      <x:c r="F49" s="19">
        <x:v>2000</x:v>
      </x:c>
      <x:c r="G49" s="19" t="n">
        <x:f>F49</x:f>
        <x:v>2000</x:v>
      </x:c>
      <x:c r="H49" s="58" t="s">
        <x:v>12</x:v>
      </x:c>
    </x:row>
    <x:row r="50" ht="15" customHeight="1">
      <x:c r="A50" s="59"/>
      <x:c r="B50" s="46"/>
      <x:c r="C50" s="46"/>
      <x:c r="D50" s="16"/>
      <x:c r="E50" s="16"/>
      <x:c r="F50" s="16"/>
      <x:c r="G50" s="16"/>
      <x:c r="H50" s="37"/>
    </x:row>
    <x:row r="51" ht="15" customHeight="1">
      <x:c r="A51" s="107" t="s">
        <x:v>33</x:v>
      </x:c>
      <x:c r="B51" s="46" t="s">
        <x:v>21</x:v>
      </x:c>
      <x:c r="C51" s="46" t="s">
        <x:v>22</x:v>
      </x:c>
      <x:c r="D51" s="16" t="s">
        <x:v>34</x:v>
      </x:c>
      <x:c r="E51" s="16">
        <x:v>1</x:v>
      </x:c>
      <x:c r="F51" s="400" t="n">
        <x:f>IF(ISNUMBER(G22),G22+'Design Inputs'!B15,"")</x:f>
        <x:v>21.11813186813187</x:v>
      </x:c>
      <x:c r="G51" s="400" t="n">
        <x:f t="shared" ref="G51" si="3">E51*F51</x:f>
        <x:v>21.11813186813187</x:v>
      </x:c>
      <x:c r="H51" s="37" t="s">
        <x:v>12</x:v>
      </x:c>
    </x:row>
    <x:row r="52" ht="15" customHeight="1">
      <x:c r="A52" s="108"/>
      <x:c r="B52" s="46"/>
      <x:c r="C52" s="46"/>
      <x:c r="D52" s="16"/>
      <x:c r="E52" s="16"/>
      <x:c r="F52" s="16"/>
      <x:c r="G52" s="16"/>
      <x:c r="H52" s="37" t="s">
        <x:v>12</x:v>
      </x:c>
    </x:row>
    <x:row r="53" ht="16.200000762939453">
      <x:c r="A53" s="109"/>
      <x:c r="B53" s="91"/>
      <x:c r="C53" s="92"/>
      <x:c r="D53" s="93"/>
      <x:c r="E53" s="93"/>
      <x:c r="F53" s="93"/>
      <x:c r="G53" s="93"/>
      <x:c r="H53" s="94" t="s">
        <x:v>12</x:v>
      </x:c>
    </x:row>
    <x:row r="54" ht="15" customHeight="1">
      <x:c r="A54" s="116" t="str">
        <x:v>Remaining rated supply current</x:v>
      </x:c>
      <x:c r="B54" s="117"/>
      <x:c r="C54" s="117"/>
      <x:c r="D54" s="117"/>
      <x:c r="E54" s="117"/>
      <x:c r="F54" s="118"/>
      <x:c r="G54" s="432" t="n">
        <x:f>G49-SUM(G51:G53)</x:f>
        <x:v>1978.881868131868</x:v>
      </x:c>
      <x:c r="H54" s="62" t="s">
        <x:v>12</x:v>
      </x:c>
    </x:row>
    <x:row r="55" ht="15" customHeight="1">
      <x:c r="A55" s="10"/>
      <x:c r="B55" s="25"/>
      <x:c r="C55" s="25"/>
      <x:c r="D55" s="25"/>
      <x:c r="E55" s="25"/>
      <x:c r="F55" s="25"/>
      <x:c r="G55" s="73"/>
      <x:c r="H55" s="73"/>
      <x:c r="I55" s="24"/>
    </x:row>
    <x:row r="56" ht="47.400001525878906">
      <x:c r="A56" s="53" t="str">
        <x:v>USB +5V Power Source</x:v>
      </x:c>
      <x:c r="B56" s="54" t="s">
        <x:v>7</x:v>
      </x:c>
      <x:c r="C56" s="54" t="s">
        <x:v>8</x:v>
      </x:c>
      <x:c r="D56" s="55" t="s">
        <x:v>23</x:v>
      </x:c>
      <x:c r="E56" s="55" t="s">
        <x:v>27</x:v>
      </x:c>
      <x:c r="F56" s="55" t="str">
        <x:v>Rated / provisional current (mA)</x:v>
      </x:c>
      <x:c r="G56" s="55" t="s">
        <x:v>24</x:v>
      </x:c>
      <x:c r="H56" s="56" t="s">
        <x:v>11</x:v>
      </x:c>
    </x:row>
    <x:row r="57" ht="15" customHeight="1">
      <x:c r="A57" s="57" t="s">
        <x:v>35</x:v>
      </x:c>
      <x:c r="B57" s="51" t="str">
        <x:v>USB 5V (PC/debug USB)</x:v>
      </x:c>
      <x:c r="C57" s="19" t="str">
        <x:v>USB connection</x:v>
      </x:c>
      <x:c r="D57" s="19" t="str">
        <x:v>nominal 5V</x:v>
      </x:c>
      <x:c r="E57" s="19" t="str">
        <x:v>5V</x:v>
      </x:c>
      <x:c r="F57" s="19" t="str">
        <x:f>IF('Design Inputs'!B12="","",'Design Inputs'!B12)</x:f>
      </x:c>
      <x:c r="G57" s="19" t="str">
        <x:f>IF(ISNUMBER(F57),F57,"")</x:f>
      </x:c>
      <x:c r="H57" s="58" t="s">
        <x:v>12</x:v>
      </x:c>
      <x:c r="J57" s="24"/>
    </x:row>
    <x:row r="58" ht="15" customHeight="1">
      <x:c r="A58" s="59"/>
      <x:c r="B58" s="46"/>
      <x:c r="C58" s="46"/>
      <x:c r="D58" s="16"/>
      <x:c r="E58" s="16"/>
      <x:c r="F58" s="16"/>
      <x:c r="G58" s="16"/>
      <x:c r="H58" s="37"/>
    </x:row>
    <x:row r="59" ht="15" customHeight="1">
      <x:c r="A59" s="107" t="s">
        <x:v>36</x:v>
      </x:c>
      <x:c r="B59" s="46" t="str">
        <x:v>Nano target + USB board overhead</x:v>
      </x:c>
      <x:c r="C59" s="46" t="str">
        <x:v>Curiosity Nano debugger/MIC5353</x:v>
      </x:c>
      <x:c r="D59" s="16" t="str">
        <x:v>USB input current estimate</x:v>
      </x:c>
      <x:c r="E59" s="16" t="n">
        <x:v>1</x:v>
      </x:c>
      <x:c r="F59" s="16" t="str">
        <x:f>IF(OR(G31="",'Design Inputs'!B13=""),"",(G31+'Design Inputs'!B13)*(1+G32))</x:f>
      </x:c>
      <x:c r="G59" s="16" t="str">
        <x:f>IF(ISNUMBER(F59),E59*F59,"")</x:f>
      </x:c>
      <x:c r="H59" s="37" t="s">
        <x:v>12</x:v>
      </x:c>
    </x:row>
    <x:row r="60" ht="15" customHeight="1">
      <x:c r="A60" s="108"/>
      <x:c r="B60" s="46"/>
      <x:c r="C60" s="46"/>
      <x:c r="D60" s="16"/>
      <x:c r="E60" s="16"/>
      <x:c r="F60" s="16"/>
      <x:c r="G60" s="16"/>
      <x:c r="H60" s="37"/>
    </x:row>
    <x:row r="61" ht="15" customHeight="1">
      <x:c r="A61" s="109"/>
      <x:c r="B61" s="39"/>
      <x:c r="C61" s="39"/>
      <x:c r="D61" s="40"/>
      <x:c r="E61" s="40"/>
      <x:c r="F61" s="40"/>
      <x:c r="G61" s="40"/>
      <x:c r="H61" s="60"/>
    </x:row>
    <x:row r="62" ht="15" customHeight="1">
      <x:c r="A62" s="74"/>
      <x:c r="B62" s="110" t="str">
        <x:v>Remaining USB current (pending)</x:v>
      </x:c>
      <x:c r="C62" s="111"/>
      <x:c r="D62" s="111"/>
      <x:c r="E62" s="111"/>
      <x:c r="F62" s="111"/>
      <x:c r="G62" s="61" t="str">
        <x:f>IF(AND(ISNUMBER(G57),ISNUMBER(G59)),G57-SUM(G59:G61),"")</x:f>
      </x:c>
      <x:c r="H62" s="62" t="s">
        <x:v>12</x:v>
      </x:c>
    </x:row>
    <x:row r="63" ht="15" customHeight="1">
      <x:c r="A63" s="7"/>
      <x:c r="B63" s="24"/>
      <x:c r="C63" s="24"/>
      <x:c r="D63" s="13"/>
      <x:c r="E63" s="43"/>
      <x:c r="F63" s="43"/>
      <x:c r="G63" s="43"/>
      <x:c r="H63" s="43"/>
    </x:row>
    <x:row r="64" ht="15" customHeight="1">
      <x:c r="A64" s="112" t="str">
        <x:v>Battery Life — N/A</x:v>
      </x:c>
      <x:c r="B64" s="113"/>
      <x:c r="C64" s="113"/>
      <x:c r="D64" s="113"/>
      <x:c r="E64" s="113"/>
      <x:c r="F64" s="113"/>
      <x:c r="G64" s="78"/>
      <x:c r="H64" s="79"/>
      <x:c r="I64" s="24"/>
    </x:row>
    <x:row r="65" ht="46.79999923706055">
      <x:c r="A65" s="86"/>
      <x:c r="B65" s="87" t="s">
        <x:v>7</x:v>
      </x:c>
      <x:c r="C65" s="87" t="s">
        <x:v>8</x:v>
      </x:c>
      <x:c r="D65" s="35" t="s">
        <x:v>23</x:v>
      </x:c>
      <x:c r="E65" s="34"/>
      <x:c r="F65" s="35" t="s">
        <x:v>37</x:v>
      </x:c>
      <x:c r="G65" s="35" t="s">
        <x:v>38</x:v>
      </x:c>
      <x:c r="H65" s="88"/>
    </x:row>
    <x:row r="66" ht="15" customHeight="1">
      <x:c r="A66" s="80"/>
      <x:c r="B66" s="39"/>
      <x:c r="C66" s="39"/>
      <x:c r="D66" s="40"/>
      <x:c r="E66" s="40"/>
      <x:c r="F66" s="40"/>
      <x:c r="G66" s="40"/>
      <x:c r="H66" s="60"/>
    </x:row>
    <x:row r="67" ht="15" customHeight="1">
      <x:c r="A67" s="81"/>
      <x:c r="B67" s="77"/>
      <x:c r="C67" s="77"/>
      <x:c r="D67" s="82"/>
      <x:c r="E67" s="82"/>
      <x:c r="F67" s="83"/>
      <x:c r="G67" s="84"/>
      <x:c r="H67" s="85"/>
    </x:row>
    <x:row r="68" ht="15" customHeight="1">
      <x:c r="A68" s="24"/>
      <x:c r="D68" s="5"/>
      <x:c r="E68" s="5"/>
      <x:c r="F68" s="33"/>
      <x:c r="G68" s="43"/>
      <x:c r="H68" s="43"/>
    </x:row>
    <x:row r="69" ht="15" customHeight="1">
      <x:c r="A69" s="114" t="str">
        <x:v>PRELIMINARY: 910 Ω, 1% resistor is proposed on external 5 V (G18). 5 V regulator budget updated, but final PCB/BOM and worst-case currents need verification.</x:v>
      </x:c>
      <x:c r="B69" s="115"/>
      <x:c r="C69" s="115"/>
      <x:c r="D69" s="115"/>
      <x:c r="E69" s="115"/>
      <x:c r="F69" s="115"/>
      <x:c r="G69" s="75"/>
      <x:c r="H69" s="76"/>
    </x:row>
    <x:row r="70" ht="15" customHeight="1">
      <x:c r="A70" s="101" t="s">
        <x:v>39</x:v>
      </x:c>
      <x:c r="B70" s="102"/>
      <x:c r="C70" s="102"/>
      <x:c r="D70" s="102"/>
      <x:c r="E70" s="102"/>
      <x:c r="F70" s="102"/>
      <x:c r="G70" s="102"/>
      <x:c r="H70" s="103"/>
    </x:row>
    <x:row r="71" ht="15" customHeight="1">
      <x:c r="A71" s="104" t="s">
        <x:v>40</x:v>
      </x:c>
      <x:c r="B71" s="105"/>
      <x:c r="C71" s="105"/>
      <x:c r="D71" s="105"/>
      <x:c r="E71" s="105"/>
      <x:c r="F71" s="105"/>
      <x:c r="G71" s="105"/>
      <x:c r="H71" s="106"/>
    </x:row>
    <x:row r="72">
      <x:c r="A72" t="str">
        <x:v>DESIGN NOTE: 910 Ω 1% minimum load resistor currently budgeted but not yet assembled. Verify actual buzzer, regulator, and supply loads after hardware assembly.</x:v>
      </x:c>
    </x:row>
    <x:row r="73">
      <x:c r="A73" t="str">
        <x:v>DATASHEET: ST L78 / L7805C https://www.st.com/resource/en/datasheet/l78.pdf | Pin connections, stability capacitors, rated load &amp; thermal specs require review.</x:v>
      </x:c>
    </x:row>
    <x:row r="74">
      <x:c r="A74" t="str">
        <x:v>TWO POWER SOURCES: Nano VTG is from USB; the separate L7805CV powers the buzzer. Keep 5V rails isolated and share appropriate common signal ground.</x:v>
      </x:c>
    </x:row>
  </x:sheetData>
  <x:mergeCells>
    <x:mergeCell ref="D22:F22"/>
    <x:mergeCell ref="D31:F31"/>
    <x:mergeCell ref="D32:F32"/>
    <x:mergeCell ref="B36:F36"/>
    <x:mergeCell ref="B25:F25"/>
    <x:mergeCell ref="D33:F33"/>
    <x:mergeCell ref="A1:H1"/>
    <x:mergeCell ref="A7:H7"/>
    <x:mergeCell ref="A70:H70"/>
    <x:mergeCell ref="A71:H71"/>
    <x:mergeCell ref="A51:A53"/>
    <x:mergeCell ref="A59:A61"/>
    <x:mergeCell ref="B62:F62"/>
    <x:mergeCell ref="A64:F64"/>
    <x:mergeCell ref="A69:F69"/>
    <x:mergeCell ref="A54:F54"/>
    <x:mergeCell ref="D41:F41"/>
    <x:mergeCell ref="D42:F42"/>
    <x:mergeCell ref="D43:F43"/>
    <x:mergeCell ref="B46:F46"/>
    <x:mergeCell ref="D20:F20"/>
    <x:mergeCell ref="D21:F21"/>
  </x:mergeCells>
  <x:conditionalFormatting sqref="G25:G26 G36:G37 G46:G46">
    <x:cfRule type="cellIs" dxfId="0" priority="1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5f1321c6a3054147"/>
</x:worksheet>
</file>

<file path=xl/worksheets/sheet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3" hidden="0" customWidth="1"/>
    <x:col min="3" max="3" width="13" hidden="0" customWidth="1"/>
    <x:col min="4" max="4" width="68" hidden="0" customWidth="1"/>
    <x:col min="5" max="5" width="49" hidden="0" customWidth="1"/>
  </x:cols>
  <x:sheetData>
    <x:row r="1" ht="28" customHeight="1">
      <x:c r="A1" s="256" t="str">
        <x:v>User Controls &amp; Safety — Power Budget inputs</x:v>
      </x:c>
      <x:c r="B1" s="256" t="str"/>
      <x:c r="C1" s="256" t="str"/>
      <x:c r="D1" s="256" t="str"/>
      <x:c r="E1" s="256" t="str"/>
    </x:row>
    <x:row r="3">
      <x:c r="A3" s="265" t="str">
        <x:v>Parameter</x:v>
      </x:c>
      <x:c r="B3" s="265" t="str">
        <x:v>Value</x:v>
      </x:c>
      <x:c r="C3" s="265" t="str">
        <x:v>Unit</x:v>
      </x:c>
      <x:c r="D3" s="265" t="str">
        <x:v>Status / note</x:v>
      </x:c>
      <x:c r="E3" s="265" t="str">
        <x:v>Documentation or datasheet</x:v>
      </x:c>
    </x:row>
    <x:row r="4" ht="36" customHeight="1">
      <x:c r="A4" s="266" t="str">
        <x:v>Target supply voltage</x:v>
      </x:c>
      <x:c r="B4" s="266" t="n">
        <x:v>5</x:v>
      </x:c>
      <x:c r="C4" s="266" t="str">
        <x:v>V</x:v>
      </x:c>
      <x:c r="D4" s="266" t="str">
        <x:v>User confirmed VTG = 5V</x:v>
      </x:c>
      <x:c r="E4" s="266" t="str">
        <x:v>https://www.microchip.com/en-us/development-tool/DM164150</x:v>
      </x:c>
    </x:row>
    <x:row r="5" ht="36" customHeight="1">
      <x:c r="A5" s="266" t="str">
        <x:v>Potentiometer resistance</x:v>
      </x:c>
      <x:c r="B5" s="266" t="n">
        <x:v>10000</x:v>
      </x:c>
      <x:c r="C5" s="266" t="str">
        <x:v>ohm</x:v>
      </x:c>
      <x:c r="D5" s="266" t="str">
        <x:v>Previously selected 10 kΩ; final BOM must match</x:v>
      </x:c>
      <x:c r="E5" s="266" t="str">
        <x:v>https://www.bourns.com/docs/product-datasheets/PTV09.pdf</x:v>
      </x:c>
    </x:row>
    <x:row r="6" ht="36" customHeight="1">
      <x:c r="A6" s="266" t="str">
        <x:v>BJT base resistor</x:v>
      </x:c>
      <x:c r="B6" s="267" t="n">
        <x:v>4700</x:v>
      </x:c>
      <x:c r="C6" s="266" t="str">
        <x:v>ohm</x:v>
      </x:c>
      <x:c r="D6" s="266" t="str">
        <x:v>ASSUMED 4.7 kΩ until BJT base-drive schematic validated</x:v>
      </x:c>
      <x:c r="E6" s="266" t="str">
        <x:v>https://www.onsemi.com/pdf/datasheet/2n3904-d.pdf</x:v>
      </x:c>
    </x:row>
    <x:row r="7" ht="36" customHeight="1">
      <x:c r="A7" s="266" t="str">
        <x:v>Estimated BJT V_BE</x:v>
      </x:c>
      <x:c r="B7" s="266" t="n">
        <x:v>0.7</x:v>
      </x:c>
      <x:c r="C7" s="266" t="str">
        <x:v>V</x:v>
      </x:c>
      <x:c r="D7" s="266" t="str">
        <x:v>Preliminary approximation, not a guaranteed worst-case spec</x:v>
      </x:c>
      <x:c r="E7" s="266" t="str">
        <x:v>https://www.onsemi.com/pdf/datasheet/2n3904-d.pdf</x:v>
      </x:c>
    </x:row>
    <x:row r="8" ht="36" customHeight="1">
      <x:c r="A8" s="266" t="str">
        <x:v>LED limiting resistor</x:v>
      </x:c>
      <x:c r="B8" s="267" t="n">
        <x:v>330</x:v>
      </x:c>
      <x:c r="C8" s="266" t="str">
        <x:v>ohm</x:v>
      </x:c>
      <x:c r="D8" s="266" t="str">
        <x:v>ASSUMED 330 Ω as requested; verify GPIO drive &amp; LED intensity</x:v>
      </x:c>
      <x:c r="E8" s="266" t="str"/>
    </x:row>
    <x:row r="9" ht="36" customHeight="1">
      <x:c r="A9" s="266" t="str">
        <x:v>LED minimum forward voltage</x:v>
      </x:c>
      <x:c r="B9" s="267" t="n">
        <x:v>1.8</x:v>
      </x:c>
      <x:c r="C9" s="266" t="str">
        <x:v>V</x:v>
      </x:c>
      <x:c r="D9" s="266" t="str">
        <x:v>ASSUMED min Vf 1.8 V (LED part number pending)</x:v>
      </x:c>
      <x:c r="E9" s="266" t="str"/>
    </x:row>
    <x:row r="10" ht="39" customHeight="1">
      <x:c r="A10" s="266" t="str">
        <x:v>Nano target section current</x:v>
      </x:c>
      <x:c r="B10" s="395" t="n">
        <x:v>20</x:v>
      </x:c>
      <x:c r="C10" s="266" t="str">
        <x:v>mA</x:v>
      </x:c>
      <x:c r="D10" s="266" t="str">
        <x:v>PROVISIONAL 20 mA DESIGN ALLOWANCE ONLY: not a published 5V max; verify before final submission</x:v>
      </x:c>
      <x:c r="E10" s="266" t="str">
        <x:v>https://ww1.microchip.com/downloads/aemDocuments/documents/MCU08/ProductDocuments/DataSheets/PIC18F27-47-57Q43-Microcontroller-Data-Sheet-XLP-DS40002147.pdf</x:v>
      </x:c>
    </x:row>
    <x:row r="11" ht="36" customHeight="1">
      <x:c r="A11" s="266" t="str">
        <x:v>Nano target regulator rated output</x:v>
      </x:c>
      <x:c r="B11" s="266" t="n">
        <x:v>500</x:v>
      </x:c>
      <x:c r="C11" s="266" t="str">
        <x:v>mA</x:v>
      </x:c>
      <x:c r="D11" s="266" t="str">
        <x:v>MIC5353 max rating; thermally limited</x:v>
      </x:c>
      <x:c r="E11" s="266" t="str">
        <x:v>https://ww1.microchip.com/downloads/en/DeviceDoc/PIC18F57Q43-Curiosity-Nano-HW-UserGuide-DS40002186B.pdf</x:v>
      </x:c>
    </x:row>
    <x:row r="12" ht="36" customHeight="1">
      <x:c r="A12" s="266" t="str">
        <x:v>USB supply available current</x:v>
      </x:c>
      <x:c r="B12" s="267"/>
      <x:c r="C12" s="266" t="str">
        <x:v>mA</x:v>
      </x:c>
      <x:c r="D12" s="266" t="str">
        <x:v>PENDING host USB port / source specification</x:v>
      </x:c>
      <x:c r="E12" s="266" t="str"/>
    </x:row>
    <x:row r="13" ht="36" customHeight="1">
      <x:c r="A13" s="266" t="str">
        <x:v>Debugger + other USB overhead</x:v>
      </x:c>
      <x:c r="B13" s="267"/>
      <x:c r="C13" s="266" t="str">
        <x:v>mA</x:v>
      </x:c>
      <x:c r="D13" s="266" t="str">
        <x:v>PENDING measurement including debugger + regulator losses; add to target current</x:v>
      </x:c>
      <x:c r="E13" s="266" t="str">
        <x:v>https://ww1.microchip.com/downloads/en/DeviceDoc/PIC18F57Q43-Curiosity-Nano-HW-UserGuide-DS40002186B.pdf</x:v>
      </x:c>
    </x:row>
    <x:row r="14" ht="36" customHeight="1">
      <x:c r="A14" s="266" t="str">
        <x:v>Piezo buzzer nominal drive current</x:v>
      </x:c>
      <x:c r="B14" s="266" t="n">
        <x:v>5</x:v>
      </x:c>
      <x:c r="C14" s="266" t="str">
        <x:v>mA</x:v>
      </x:c>
      <x:c r="D14" s="266" t="str">
        <x:v>PRELIMINARY (not confirmed worst-case)</x:v>
      </x:c>
      <x:c r="E14" s="266" t="str">
        <x:v>https://www.digikey.com/en/products/detail/same-sky-formerly-cui-devices/CPT-1407-5TH/29292280</x:v>
      </x:c>
    </x:row>
    <x:row r="15" ht="36" customHeight="1">
      <x:c r="A15" s="266" t="str">
        <x:v>L7805CV quiescent current estimate</x:v>
      </x:c>
      <x:c r="B15" s="266" t="n">
        <x:v>8</x:v>
      </x:c>
      <x:c r="C15" s="266" t="str">
        <x:v>mA</x:v>
      </x:c>
      <x:c r="D15" s="266" t="str">
        <x:v>PRELIMINARY, specified under limited test conditions</x:v>
      </x:c>
      <x:c r="E15" s="266" t="str">
        <x:v>https://www.st.com/resource/en/datasheet/l78.pdf</x:v>
      </x:c>
    </x:row>
    <x:row r="16">
      <x:c r="A16" s="266"/>
      <x:c r="B16" s="266"/>
      <x:c r="C16" s="266"/>
      <x:c r="D16" s="266"/>
      <x:c r="E16" s="266"/>
    </x:row>
    <x:row r="17" ht="27" customHeight="1">
      <x:c r="A17" s="266" t="str">
        <x:v>HOW TO USE: Fill blank yellow Value cells when specifications are confirmed. Missing parameters intentionally prevent a misleading subtotal.</x:v>
      </x:c>
      <x:c r="B17" s="266"/>
      <x:c r="C17" s="266"/>
      <x:c r="D17" s="266"/>
      <x:c r="E17" s="266"/>
    </x:row>
    <x:row r="18" ht="27" customHeight="1">
      <x:c r="A18" s="266" t="str">
        <x:v>USB target rail values are NOT the same as full USB source input current; debugger and LDO overhead must be accounted for separately.</x:v>
      </x:c>
      <x:c r="B18" s="266"/>
      <x:c r="C18" s="266"/>
      <x:c r="D18" s="266"/>
      <x:c r="E18" s="266"/>
    </x:row>
    <x:row r="19" ht="27" customHeight="1">
      <x:c r="A19" s="266" t="str">
        <x:v>Do not tie Nano VTG to externally regulated 5V while Nano is being powered from USB. Only connect GND and signal lines with compatible levels.</x:v>
      </x:c>
      <x:c r="B19" s="266"/>
      <x:c r="C19" s="266"/>
      <x:c r="D19" s="266"/>
      <x:c r="E19" s="266"/>
    </x:row>
    <x:row r="20" ht="27" customHeight="1">
      <x:c r="A20" s="266" t="str">
        <x:v>Actual VIN=9V → VOUT=5V L7805 thermal budget must be independently checked; 1.5A is not a safe continuous current guarantee.</x:v>
      </x:c>
      <x:c r="B20" s="266"/>
      <x:c r="C20" s="266"/>
      <x:c r="D20" s="266"/>
      <x:c r="E20" s="266"/>
    </x:row>
    <x:row r="21" ht="34" customHeight="1">
      <x:c r="A21" s="393" t="str">
        <x:v>PIC datasheet point (DS40002147H)</x:v>
      </x:c>
      <x:c r="B21" s="393" t="str">
        <x:v>Value</x:v>
      </x:c>
      <x:c r="C21" s="393" t="str">
        <x:v>Unit</x:v>
      </x:c>
      <x:c r="D21" s="393" t="str">
        <x:v>Correct interpretation</x:v>
      </x:c>
      <x:c r="E21" s="393" t="str">
        <x:v>Source</x:v>
      </x:c>
    </x:row>
    <x:row r="22" ht="34" customHeight="1">
      <x:c r="A22" t="str">
        <x:v>HFINTOSC, 64 MHz — typical at 3.0 V</x:v>
      </x:c>
      <x:c r="B22" t="n">
        <x:v>6.7</x:v>
      </x:c>
      <x:c r="C22" t="str">
        <x:v>mA</x:v>
      </x:c>
      <x:c r="D22" t="str">
        <x:v>Not a 5.0V typical value</x:v>
      </x:c>
      <x:c r="E22" t="str">
        <x:v>https://ww1.microchip.com/downloads/aemDocuments/documents/MCU08/ProductDocuments/DataSheets/PIC18F27-47-57Q43-Microcontroller-Data-Sheet-XLP-DS40002147.pdf</x:v>
      </x:c>
    </x:row>
    <x:row r="23" ht="34" customHeight="1">
      <x:c r="A23" t="str">
        <x:v>HFINTOSC, 64 MHz — max at 3.0 V</x:v>
      </x:c>
      <x:c r="B23" t="n">
        <x:v>8.2</x:v>
      </x:c>
      <x:c r="C23" t="str">
        <x:v>mA</x:v>
      </x:c>
      <x:c r="D23" t="str">
        <x:v>Not a 5.0V max value; do NOT copy to B10</x:v>
      </x:c>
      <x:c r="E23" t="str">
        <x:v>https://ww1.microchip.com/downloads/aemDocuments/documents/MCU08/ProductDocuments/DataSheets/PIC18F27-47-57Q43-Microcontroller-Data-Sheet-XLP-DS40002147.pdf</x:v>
      </x:c>
    </x:row>
    <x:row r="24" ht="34" customHeight="1">
      <x:c r="A24" t="str">
        <x:v>5.0 V, 64 MHz — provisional planning</x:v>
      </x:c>
      <x:c r="B24" t="n">
        <x:v>20</x:v>
      </x:c>
      <x:c r="C24" t="str">
        <x:v>mA</x:v>
      </x:c>
      <x:c r="D24" t="str">
        <x:v>Engineering allowance (UNVERIFIED); replace after data/measurement</x:v>
      </x:c>
      <x:c r="E24" t="str"/>
    </x:row>
    <x:row r="25" ht="34" customHeight="1">
      <x:c r="A25" t="str">
        <x:v>Complete USB current</x:v>
      </x:c>
      <x:c r="B25"/>
      <x:c r="C25" t="str">
        <x:v>mA</x:v>
      </x:c>
      <x:c r="D25" t="str">
        <x:v>Debugger overhead and USB source capacity remain UNKNOWN</x:v>
      </x:c>
      <x:c r="E25" t="str">
        <x:v>https://www.microchip.com/en-us/development-tool/DM164150</x:v>
      </x:c>
    </x:row>
    <x:row r="26" ht="31" customHeight="1">
      <x:c r="A26" t="str">
        <x:v>External rail preload resistance</x:v>
      </x:c>
      <x:c r="B26" t="n">
        <x:v>910</x:v>
      </x:c>
      <x:c r="C26" t="str">
        <x:v>ohm</x:v>
      </x:c>
      <x:c r="D26" s="266" t="str">
        <x:v>PROVISIONAL: add 910 Ω, 1% resistor across external 5V rail after schematic review</x:v>
      </x:c>
      <x:c r="E26" t="str">
        <x:v>https://www.st.com/resource/en/datasheet/l78.pdf</x:v>
      </x:c>
    </x:row>
    <x:row r="27" ht="31" customHeight="1">
      <x:c r="A27" t="str">
        <x:v>Preload resistor tolerance</x:v>
      </x:c>
      <x:c r="B27" s="431" t="n">
        <x:v>0.01</x:v>
      </x:c>
      <x:c r="C27" t="str">
        <x:v>fraction</x:v>
      </x:c>
      <x:c r="D27" s="266" t="str">
        <x:v>Use 1% resistor; 5% at 4.75V could drop below specified 5mA minimum load</x:v>
      </x:c>
      <x:c r="E27"/>
    </x:row>
    <x:row r="28" ht="31" customHeight="1">
      <x:c r="A28" t="str">
        <x:v>L7805CV minimum rated output</x:v>
      </x:c>
      <x:c r="B28" t="n">
        <x:v>4.75</x:v>
      </x:c>
      <x:c r="C28" t="str">
        <x:v>V</x:v>
      </x:c>
      <x:c r="D28" s="266" t="str">
        <x:v>L7805C specified output minimum for qualified 5mA–1A loads, VI 7–18 V</x:v>
      </x:c>
      <x:c r="E28" t="str">
        <x:v>https://www.st.com/resource/en/datasheet/l78.pdf</x:v>
      </x:c>
    </x:row>
    <x:row r="30">
      <x:c r="A30" t="str">
        <x:v>DESIGN CHANGE (pending approval / test): 910 Ω 1% preload across 5V-to-GND on external regulator output. Add to KiCad schematic and BOM.</x:v>
      </x:c>
    </x:row>
    <x:row r="31">
      <x:c r="A31" t="str">
        <x:v>Hardware verification remains required; the buzzer's 5mA is a nominal current, not independently verified worst case.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9" topLeftCell="A20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5" hidden="0" customWidth="1"/>
    <x:col min="8" max="8" width="14" hidden="0" customWidth="1"/>
    <x:col min="9" max="9" width="14" hidden="0" customWidth="1"/>
    <x:col min="10" max="10" width="37" hidden="0" customWidth="1"/>
  </x:cols>
  <x:sheetData>
    <x:row r="1" ht="30" customHeight="1">
      <x:c r="A1" s="404" t="str">
        <x:v>L7805CV | THERMAL ANALYSIS — 9 V → 5 V</x:v>
      </x:c>
      <x:c r="B1" s="404"/>
      <x:c r="C1" s="404"/>
      <x:c r="D1" s="404"/>
      <x:c r="E1" s="404"/>
      <x:c r="F1" s="404"/>
      <x:c r="G1" s="404"/>
      <x:c r="H1" s="404"/>
      <x:c r="I1" s="404"/>
      <x:c r="J1" s="404"/>
    </x:row>
    <x:row r="2" ht="25" customHeight="1">
      <x:c r="A2" s="406" t="str">
        <x:v>Preliminary engineering estimate  •  PIC Nano remains USB-powered  •  External regulator supplies the buzzer rail only</x:v>
      </x:c>
      <x:c r="B2" s="406"/>
      <x:c r="C2" s="406"/>
      <x:c r="D2" s="406"/>
      <x:c r="E2" s="406"/>
      <x:c r="F2" s="406"/>
      <x:c r="G2" s="406"/>
      <x:c r="H2" s="406"/>
      <x:c r="I2" s="406"/>
      <x:c r="J2" s="406"/>
    </x:row>
    <x:row r="4" ht="32" customHeight="1">
      <x:c r="A4" s="409" t="str">
        <x:v>DESIGN INPUTS</x:v>
      </x:c>
      <x:c r="B4" s="409"/>
      <x:c r="C4" s="409"/>
      <x:c r="D4" s="409"/>
      <x:c r="F4" s="409" t="str">
        <x:v>IMPORTANT: TWO DISTINCT POWER SOURCES</x:v>
      </x:c>
      <x:c r="G4" s="409"/>
      <x:c r="H4" s="409"/>
      <x:c r="I4" s="409"/>
      <x:c r="J4" s="409"/>
    </x:row>
    <x:row r="5">
      <x:c r="A5" s="410" t="str">
        <x:v>Regulator input voltage (Vin)</x:v>
      </x:c>
      <x:c r="B5" s="412" t="n">
        <x:v>9</x:v>
      </x:c>
      <x:c r="C5" t="str">
        <x:v>V</x:v>
      </x:c>
      <x:c r="F5" t="str">
        <x:v>USB Nano VTG = 5 V. USB 5 V must not be tied directly to the external regulator output.</x:v>
      </x:c>
    </x:row>
    <x:row r="6">
      <x:c r="A6" s="410" t="str">
        <x:v>Regulator output voltage (Vout)</x:v>
      </x:c>
      <x:c r="B6" s="412" t="n">
        <x:f>'Design Inputs'!B4</x:f>
        <x:v>5</x:v>
      </x:c>
      <x:c r="C6" t="str">
        <x:v>V</x:v>
      </x:c>
    </x:row>
    <x:row r="7">
      <x:c r="A7" s="410" t="str">
        <x:v>Regulator quiescent current (Iq)</x:v>
      </x:c>
      <x:c r="B7" s="412" t="n">
        <x:f>'Design Inputs'!B15</x:f>
        <x:v>8</x:v>
      </x:c>
      <x:c r="C7" t="str">
        <x:v>mA</x:v>
      </x:c>
      <x:c r="F7" t="str">
        <x:v>Common signal ground is necessary; confirm all I/O level and power sequencing constraints.</x:v>
      </x:c>
    </x:row>
    <x:row r="8">
      <x:c r="A8" s="410" t="str">
        <x:v>Thermal resistance junction–ambient</x:v>
      </x:c>
      <x:c r="B8" s="412" t="n">
        <x:v>50</x:v>
      </x:c>
      <x:c r="C8" t="str">
        <x:v>°C/W</x:v>
      </x:c>
    </x:row>
    <x:row r="9">
      <x:c r="A9" s="410" t="str">
        <x:v>Ambient temperature (normal)</x:v>
      </x:c>
      <x:c r="B9" s="412" t="n">
        <x:v>25</x:v>
      </x:c>
      <x:c r="C9" t="str">
        <x:v>°C</x:v>
      </x:c>
      <x:c r="F9" t="str">
        <x:v>L7805C: minimum load current for rated regulation = 5 mA.</x:v>
      </x:c>
    </x:row>
    <x:row r="10">
      <x:c r="A10" s="410" t="str">
        <x:v>Ambient temperature (warm room)</x:v>
      </x:c>
      <x:c r="B10" s="412" t="n">
        <x:v>40</x:v>
      </x:c>
      <x:c r="C10" t="str">
        <x:v>°C</x:v>
      </x:c>
    </x:row>
    <x:row r="11">
      <x:c r="A11" s="410" t="str">
        <x:v>Design current safety margin</x:v>
      </x:c>
      <x:c r="B11" s="413" t="n">
        <x:f>'Power Budget'!G21</x:f>
        <x:v>0.25</x:v>
      </x:c>
      <x:c r="C11" t="str">
        <x:v>fraction</x:v>
      </x:c>
      <x:c r="F11" t="str">
        <x:v>Buzzer OFF without preload: no guaranteed minimum rail load.</x:v>
      </x:c>
    </x:row>
    <x:row r="12">
      <x:c r="A12" s="410" t="str">
        <x:v>Buzzer nominal current</x:v>
      </x:c>
      <x:c r="B12" s="412" t="n">
        <x:f>'Design Inputs'!B14</x:f>
        <x:v>5</x:v>
      </x:c>
      <x:c r="C12" t="str">
        <x:v>mA</x:v>
      </x:c>
    </x:row>
    <x:row r="13">
      <x:c r="A13" s="410" t="str">
        <x:v>Regulator minimum output load</x:v>
      </x:c>
      <x:c r="B13" s="412" t="n">
        <x:v>5</x:v>
      </x:c>
      <x:c r="C13" t="str">
        <x:v>mA</x:v>
      </x:c>
      <x:c r="F13" t="str">
        <x:v>910 Ω, 1% STAGED: requires KiCad/BOM approval; &gt;5mA at min 4.75V after 1% tolerance</x:v>
      </x:c>
    </x:row>
    <x:row r="14">
      <x:c r="A14" s="410" t="str">
        <x:v>STAGED 910 Ω 1% preload resistor</x:v>
      </x:c>
      <x:c r="B14" s="414" t="n">
        <x:f>'Design Inputs'!B26</x:f>
        <x:v>910</x:v>
      </x:c>
      <x:c r="C14" t="str">
        <x:v>ohm</x:v>
      </x:c>
    </x:row>
    <x:row r="15">
      <x:c r="A15" s="410" t="str">
        <x:v>Staged preload current</x:v>
      </x:c>
      <x:c r="B15" s="412" t="n">
        <x:f>B6/B14*1000</x:f>
        <x:v>5.4945054945054945</x:v>
      </x:c>
      <x:c r="C15" t="str">
        <x:v>mA</x:v>
      </x:c>
      <x:c r="F15" t="str">
        <x:v>8 mA quiescent spec is at TJ=25 °C, not a guaranteed maximum over every operating condition.</x:v>
      </x:c>
    </x:row>
    <x:row r="16">
      <x:c r="A16" s="410" t="str">
        <x:v>Staged resistor power</x:v>
      </x:c>
      <x:c r="B16" s="412" t="n">
        <x:f>B6*B15/1000</x:f>
        <x:v>0.027472527472527476</x:v>
      </x:c>
      <x:c r="C16" t="str">
        <x:v>W</x:v>
      </x:c>
    </x:row>
    <x:row r="17" ht="30" customHeight="1">
      <x:c r="A17" s="266" t="str">
        <x:v>Preload at min Vout and max resistor tolerance</x:v>
      </x:c>
      <x:c r="B17" s="433" t="n">
        <x:f>'Design Inputs'!B28/(B14*(1+B18))*1000</x:f>
        <x:v>5.168099227505168</x:v>
      </x:c>
      <x:c r="C17" t="str">
        <x:v>mA</x:v>
      </x:c>
    </x:row>
    <x:row r="18">
      <x:c r="A18" s="266" t="str">
        <x:v>Resistor tolerance</x:v>
      </x:c>
      <x:c r="B18" s="431" t="n">
        <x:f>'Design Inputs'!B27</x:f>
        <x:v>0.01</x:v>
      </x:c>
    </x:row>
    <x:row r="19" ht="36" customHeight="1">
      <x:c r="A19" s="409" t="str">
        <x:v>Operating scenario</x:v>
      </x:c>
      <x:c r="B19" s="409" t="str">
        <x:v>Buzzer (mA)</x:v>
      </x:c>
      <x:c r="C19" s="409" t="str">
        <x:v>Preload (mA)</x:v>
      </x:c>
      <x:c r="D19" s="409" t="str">
        <x:v>Output load (mA)</x:v>
      </x:c>
      <x:c r="E19" s="409" t="str">
        <x:v>+25% load (mA)</x:v>
      </x:c>
      <x:c r="F19" s="409" t="str">
        <x:v>Regulator loss (W)</x:v>
      </x:c>
      <x:c r="G19" s="409" t="str">
        <x:v>Rise (°C)</x:v>
      </x:c>
      <x:c r="H19" s="409" t="str">
        <x:v>Tj @25°C</x:v>
      </x:c>
      <x:c r="I19" s="409" t="str">
        <x:v>Tj @40°C</x:v>
      </x:c>
      <x:c r="J19" s="409" t="str">
        <x:v>Minimum-load observation</x:v>
      </x:c>
    </x:row>
    <x:row r="20" ht="36" customHeight="1">
      <x:c r="A20" s="418" t="str">
        <x:v>REFERENCE — without preload, buzzer ON</x:v>
      </x:c>
      <x:c r="B20" s="421" t="n">
        <x:f> $B$12</x:f>
        <x:v>5</x:v>
      </x:c>
      <x:c r="C20" s="421" t="n">
        <x:v>0</x:v>
      </x:c>
      <x:c r="D20" s="421" t="n">
        <x:f>SUM(B20:C20)</x:f>
        <x:v>5</x:v>
      </x:c>
      <x:c r="E20" s="421" t="n">
        <x:f>D20*(1+$B$11)</x:f>
        <x:v>6.25</x:v>
      </x:c>
      <x:c r="F20" s="425" t="n">
        <x:f>($B$5-$B$6)*E20/1000+$B$5*$B$7/1000</x:f>
        <x:v>0.097</x:v>
      </x:c>
      <x:c r="G20" s="421" t="n">
        <x:f>F20*$B$8</x:f>
        <x:v>4.8500000000000005</x:v>
      </x:c>
      <x:c r="H20" s="421" t="n">
        <x:f>$B$9+G20</x:f>
        <x:v>29.85</x:v>
      </x:c>
      <x:c r="I20" s="421" t="n">
        <x:f>$B$10+G20</x:f>
        <x:v>44.85</x:v>
      </x:c>
      <x:c r="J20" s="418" t="str">
        <x:v>Below 5mA at idle; reference only</x:v>
      </x:c>
    </x:row>
    <x:row r="21" ht="36" customHeight="1">
      <x:c r="A21" s="418" t="str">
        <x:v>REFERENCE — without preload, buzzer OFF</x:v>
      </x:c>
      <x:c r="B21" s="421" t="n">
        <x:v>0</x:v>
      </x:c>
      <x:c r="C21" s="421" t="n">
        <x:v>0</x:v>
      </x:c>
      <x:c r="D21" s="421" t="n">
        <x:f>SUM(B21:C21)</x:f>
        <x:v>0</x:v>
      </x:c>
      <x:c r="E21" s="421" t="n">
        <x:f>D21*(1+$B$11)</x:f>
        <x:v>0</x:v>
      </x:c>
      <x:c r="F21" s="425" t="n">
        <x:f>($B$5-$B$6)*E21/1000+$B$5*$B$7/1000</x:f>
        <x:v>0.072</x:v>
      </x:c>
      <x:c r="G21" s="421" t="n">
        <x:f>F21*$B$8</x:f>
        <x:v>3.5999999999999996</x:v>
      </x:c>
      <x:c r="H21" s="421" t="n">
        <x:f>$B$9+G21</x:f>
        <x:v>28.6</x:v>
      </x:c>
      <x:c r="I21" s="421" t="n">
        <x:f>$B$10+G21</x:f>
        <x:v>43.6</x:v>
      </x:c>
      <x:c r="J21" s="418" t="str">
        <x:v>Below 5mA at idle; reference only</x:v>
      </x:c>
    </x:row>
    <x:row r="22" ht="36" customHeight="1">
      <x:c r="A22" s="419" t="str">
        <x:v>STAGED — with preload, buzzer ON</x:v>
      </x:c>
      <x:c r="B22" s="422" t="n">
        <x:f>$B$12</x:f>
        <x:v>5</x:v>
      </x:c>
      <x:c r="C22" s="422" t="n">
        <x:f>$B$15</x:f>
        <x:v>5.4945054945054945</x:v>
      </x:c>
      <x:c r="D22" s="422" t="n">
        <x:f>SUM(B22:C22)</x:f>
        <x:v>10.494505494505495</x:v>
      </x:c>
      <x:c r="E22" s="422" t="n">
        <x:f>D22*(1+$B$11)</x:f>
        <x:v>13.118131868131869</x:v>
      </x:c>
      <x:c r="F22" s="422" t="n">
        <x:f>($B$5-$B$6)*E22/1000+$B$5*$B$7/1000</x:f>
        <x:v>0.12447252747252746</x:v>
      </x:c>
      <x:c r="G22" s="422" t="n">
        <x:f>F22*$B$8</x:f>
        <x:v>6.223626373626373</x:v>
      </x:c>
      <x:c r="H22" s="422" t="n">
        <x:f>$B$9+G22</x:f>
        <x:v>31.223626373626374</x:v>
      </x:c>
      <x:c r="I22" s="422" t="n">
        <x:f>$B$10+G22</x:f>
        <x:v>46.223626373626374</x:v>
      </x:c>
      <x:c r="J22" s="419" t="str">
        <x:v>910 Ω 1% planned; verify worst-case</x:v>
      </x:c>
    </x:row>
    <x:row r="23" ht="36" customHeight="1">
      <x:c r="A23" s="419" t="str">
        <x:v>STAGED — with preload, buzzer OFF</x:v>
      </x:c>
      <x:c r="B23" s="422" t="n">
        <x:v>0</x:v>
      </x:c>
      <x:c r="C23" s="422" t="n">
        <x:f>$B$15</x:f>
        <x:v>5.4945054945054945</x:v>
      </x:c>
      <x:c r="D23" s="422" t="n">
        <x:f>SUM(B23:C23)</x:f>
        <x:v>5.4945054945054945</x:v>
      </x:c>
      <x:c r="E23" s="422" t="n">
        <x:f>D23*(1+$B$11)</x:f>
        <x:v>6.868131868131869</x:v>
      </x:c>
      <x:c r="F23" s="422" t="n">
        <x:f>($B$5-$B$6)*E23/1000+$B$5*$B$7/1000</x:f>
        <x:v>0.09947252747252747</x:v>
      </x:c>
      <x:c r="G23" s="422" t="n">
        <x:f>F23*$B$8</x:f>
        <x:v>4.973626373626374</x:v>
      </x:c>
      <x:c r="H23" s="422" t="n">
        <x:f>$B$9+G23</x:f>
        <x:v>29.973626373626374</x:v>
      </x:c>
      <x:c r="I23" s="422" t="n">
        <x:f>$B$10+G23</x:f>
        <x:v>44.973626373626374</x:v>
      </x:c>
      <x:c r="J23" s="419" t="str">
        <x:v>Idle current &gt;5mA at 4.75 V with 1% resistor</x:v>
      </x:c>
    </x:row>
    <x:row r="24" ht="36" customHeight="1">
      <x:c r="A24" s="266"/>
      <x:c r="B24" s="423"/>
      <x:c r="C24" s="423"/>
      <x:c r="D24" s="423"/>
      <x:c r="E24" s="423"/>
      <x:c r="F24" s="427"/>
      <x:c r="G24" s="423"/>
      <x:c r="H24" s="423"/>
      <x:c r="I24" s="423"/>
      <x:c r="J24" s="266"/>
    </x:row>
    <x:row r="25" ht="36" customHeight="1">
      <x:c r="A25" s="420" t="str">
        <x:v>ILLUSTRATIVE ONLY: 500mA no heatsink</x:v>
      </x:c>
      <x:c r="B25" s="424" t="n">
        <x:v>500</x:v>
      </x:c>
      <x:c r="C25" s="424" t="n">
        <x:v>0</x:v>
      </x:c>
      <x:c r="D25" s="424" t="n">
        <x:f>SUM(B25:C25)</x:f>
        <x:v>500</x:v>
      </x:c>
      <x:c r="E25" s="424" t="n">
        <x:f>D25</x:f>
        <x:v>500</x:v>
      </x:c>
      <x:c r="F25" s="428" t="n">
        <x:f>($B$5-$B$6)*E25/1000+$B$5*$B$7/1000</x:f>
        <x:v>2.072</x:v>
      </x:c>
      <x:c r="G25" s="424" t="n">
        <x:f>F25*$B$8</x:f>
        <x:v>103.60000000000001</x:v>
      </x:c>
      <x:c r="H25" s="424" t="n">
        <x:f>$B$9+G25</x:f>
        <x:v>128.60000000000002</x:v>
      </x:c>
      <x:c r="I25" s="424" t="n">
        <x:f>$B$10+G25</x:f>
        <x:v>143.60000000000002</x:v>
      </x:c>
      <x:c r="J25" s="420" t="str">
        <x:v>Thermally unacceptable (illustration)</x:v>
      </x:c>
    </x:row>
    <x:row r="29" ht="25" customHeight="1">
      <x:c r="A29" s="430" t="str">
        <x:v>MODEL: P_loss = (Vin - Vout) × I_out + Vin × Iq. Current margin applied to output load, then Iq added separately.</x:v>
      </x:c>
      <x:c r="B29" s="430"/>
      <x:c r="C29" s="430"/>
      <x:c r="D29" s="430"/>
      <x:c r="E29" s="430"/>
      <x:c r="F29" s="430"/>
      <x:c r="G29" s="430"/>
      <x:c r="H29" s="430"/>
      <x:c r="I29" s="430"/>
      <x:c r="J29" s="430"/>
    </x:row>
    <x:row r="30" ht="25" customHeight="1">
      <x:c r="A30" s="430" t="str">
        <x:v>THERMAL: ΔT ≈ P_loss × θJA,  Tj ≈ Ta + ΔT. θJA=50 °C/W is the ST TO-220 datasheet estimate; mounting matters.</x:v>
      </x:c>
      <x:c r="B30" s="430"/>
      <x:c r="C30" s="430"/>
      <x:c r="D30" s="430"/>
      <x:c r="E30" s="430"/>
      <x:c r="F30" s="430"/>
      <x:c r="G30" s="430"/>
      <x:c r="H30" s="430"/>
      <x:c r="I30" s="430"/>
      <x:c r="J30" s="430"/>
    </x:row>
    <x:row r="31" ht="25" customHeight="1">
      <x:c r="A31" s="430" t="str">
        <x:v>STAGED DESIGN CHANGE: 910 Ω 1% preload gives &gt;5 mA at 4.75V worst voltage and resistor tolerance; add to schematic.</x:v>
      </x:c>
      <x:c r="B31" s="430"/>
      <x:c r="C31" s="430"/>
      <x:c r="D31" s="430"/>
      <x:c r="E31" s="430"/>
      <x:c r="F31" s="430"/>
      <x:c r="G31" s="430"/>
      <x:c r="H31" s="430"/>
      <x:c r="I31" s="430"/>
      <x:c r="J31" s="430"/>
    </x:row>
    <x:row r="32" ht="25" customHeight="1">
      <x:c r="A32" s="430" t="str">
        <x:v>IMPORTANT: Current buzzer 5 mA is specified at 5 Vp-p, 4 kHz and 50% square wave; driver topology and max current require testing.</x:v>
      </x:c>
      <x:c r="B32" s="430"/>
      <x:c r="C32" s="430"/>
      <x:c r="D32" s="430"/>
      <x:c r="E32" s="430"/>
      <x:c r="F32" s="430"/>
      <x:c r="G32" s="430"/>
      <x:c r="H32" s="430"/>
      <x:c r="I32" s="430"/>
      <x:c r="J32" s="430"/>
    </x:row>
    <x:row r="33" ht="25" customHeight="1">
      <x:c r="A33" s="430" t="str">
        <x:v>SOURCE (ST L78 Rev 38): https://www.st.com/resource/en/datasheet/l78.pdf</x:v>
      </x:c>
      <x:c r="B33" s="430"/>
      <x:c r="C33" s="430"/>
      <x:c r="D33" s="430"/>
      <x:c r="E33" s="430"/>
      <x:c r="F33" s="430"/>
      <x:c r="G33" s="430"/>
      <x:c r="H33" s="430"/>
      <x:c r="I33" s="430"/>
      <x:c r="J33" s="430"/>
    </x:row>
    <x:row r="34" ht="25" customHeight="1">
      <x:c r="A34" s="430" t="str">
        <x:v>SOURCE (Same Sky CPT-1407-5TH): https://www.sameskydevices.com/product/resource/cpt-1407-5th.pdf</x:v>
      </x:c>
      <x:c r="B34" s="430"/>
      <x:c r="C34" s="430"/>
      <x:c r="D34" s="430"/>
      <x:c r="E34" s="430"/>
      <x:c r="F34" s="430"/>
      <x:c r="G34" s="430"/>
      <x:c r="H34" s="430"/>
      <x:c r="I34" s="430"/>
      <x:c r="J34" s="430"/>
    </x:row>
    <x:row r="35" ht="25" customHeight="1">
      <x:c r="A35" s="430" t="str">
        <x:v>FINAL: Do not treat these calculated values as validated current / thermal maxima; revise after breadboard/PCB verification.</x:v>
      </x:c>
      <x:c r="B35" s="430"/>
      <x:c r="C35" s="430"/>
      <x:c r="D35" s="430"/>
      <x:c r="E35" s="430"/>
      <x:c r="F35" s="430"/>
      <x:c r="G35" s="430"/>
      <x:c r="H35" s="430"/>
      <x:c r="I35" s="430"/>
      <x:c r="J35" s="430"/>
    </x:row>
  </x:sheetData>
  <x:mergeCells>
    <x:mergeCell ref="A1:J1"/>
    <x:mergeCell ref="A2:J2"/>
    <x:mergeCell ref="A4:D4"/>
    <x:mergeCell ref="F4:J4"/>
    <x:mergeCell ref="F5:J6"/>
    <x:mergeCell ref="F7:J8"/>
    <x:mergeCell ref="F9:J10"/>
    <x:mergeCell ref="F11:J12"/>
    <x:mergeCell ref="F13:J14"/>
    <x:mergeCell ref="F15:J16"/>
    <x:mergeCell ref="A29:J29"/>
    <x:mergeCell ref="A30:J30"/>
    <x:mergeCell ref="A31:J31"/>
    <x:mergeCell ref="A32:J32"/>
    <x:mergeCell ref="A33:J33"/>
    <x:mergeCell ref="A34:J34"/>
    <x:mergeCell ref="A35:J35"/>
  </x:mergeCells>
  <x:pageMargins left="0.7" right="0.7" top="0.75" bottom="0.75" header="0.3" footer="0.3"/>
</x:worksheet>
</file>